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https://d.docs.live.net/5d49a64f78317fbe/Documents/DigiPen/CSD1450SPRING2021/"/>
    </mc:Choice>
  </mc:AlternateContent>
  <xr:revisionPtr revIDLastSave="240" documentId="8_{17010403-A629-467C-96B4-F31DA8B3BF53}" xr6:coauthVersionLast="46" xr6:coauthVersionMax="46" xr10:uidLastSave="{45C9AFAF-D556-40D1-AA76-982733F37410}"/>
  <bookViews>
    <workbookView xWindow="-120" yWindow="-16320" windowWidth="29040" windowHeight="15840" activeTab="6"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F8" i="15" a="1"/>
  <c r="E9" i="12" a="1"/>
  <c r="F8" i="13" a="1"/>
  <c r="E10" i="16" a="1"/>
  <c r="E8" i="13" a="1"/>
  <c r="E8" i="15" a="1"/>
  <c r="F9" i="11" a="1"/>
  <c r="F10" i="16" a="1"/>
  <c r="E9" i="11" a="1"/>
  <c r="F9" i="12"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<sst xmlns="http://schemas.openxmlformats.org/spreadsheetml/2006/main" count="416" uniqueCount="185">
  <si>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</si>
  <si>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</si>
  <si>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</si>
  <si>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</si>
  <si>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</si>
  <si>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</si>
  <si>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</si>
  <si>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</si>
  <si>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</si>
  <si>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</si>
  <si>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</si>
  <si>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</si>
  <si>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</si>
  <si>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</si>
  <si>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</si>
  <si>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</si>
  <si>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</si>
  <si>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</si>
  <si>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</si>
  <si>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</si>
  <si>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</si>
  <si>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</si>
  <si>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</si>
  <si>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</si>
  <si>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</si>
  <si>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</si>
  <si>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</si>
  <si>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</si>
  <si>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</si>
  <si>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</si>
  <si>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</si>
  <si>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</si>
  <si>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</si>
  <si>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</si>
  <si>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</si>
  <si>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</si>
  <si>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</si>
  <si>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</si>
  <si>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</si>
  <si>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</si>
  <si>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</si>
  <si>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</si>
  <si>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</si>
  <si>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</si>
  <si>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</si>
  <si>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</si>
  <si>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</si>
  <si>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</si>
  <si>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</si>
  <si>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</si>
  <si>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</si>
  <si>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</si>
  <si>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</si>
  <si>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</si>
  <si>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</si>
  <si>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</si>
  <si>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</si>
  <si>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</si>
  <si>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</si>
  <si>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</si>
  <si>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</si>
  <si>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</si>
  <si>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</si>
  <si>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</si>
  <si>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</si>
  <si>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</si>
  <si>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</si>
  <si>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</si>
  <si>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</si>
  <si>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</si>
  <si>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</si>
  <si>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</si>
  <si>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</si>
  <si>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</si>
  <si>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</si>
  <si>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</si>
  <si>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</si>
  <si>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</si>
  <si>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</si>
  <si>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</si>
  <si>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</si>
  <si>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</si>
  <si>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</si>
  <si>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</si>
  <si>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</si>
  <si>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</si>
  <si>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</si>
  <si>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</si>
  <si>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</si>
  <si>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</si>
  <si>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</si>
  <si>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</si>
  <si>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</si>
  <si>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</si>
  <si>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</si>
  <si>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</si>
  <si>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</si>
  <si>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</si>
  <si>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</si>
  <si>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</si>
  <si>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</si>
  <si>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</si>
  <si>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</si>
  <si>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</si>
  <si>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</si>
  <si>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</si>
  <si>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</si>
  <si>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</si>
  <si>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</si>
  <si>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</si>
  <si>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</si>
  <si>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</si>
  <si>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</si>
  <si>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</si>
  <si>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</si>
  <si>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</si>
  <si>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</si>
  <si>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</si>
  <si>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</si>
  <si>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</si>
  <si>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</si>
  <si>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</si>
  <si>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</si>
  <si>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C</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</si>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</sst>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23" fillId="9" borderId="0" applyNumberFormat="0" applyBorder="0" applyAlignment="0" applyProtection="0"/>
  </cellStyleXfs>
  <cellXfs count="238">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0" fillId="0" borderId="47"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91" xfId="0" applyFill="1" applyBorder="1" applyAlignment="1" applyProtection="1">
      <alignmen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0" fontId="6" fillId="2" borderId="13" xfId="0" applyFont="1" applyFill="1" applyBorder="1" applyAlignment="1">
      <alignment horizontal="center" vertical="top"/>
    </xf>
    <xf numFmtId="10" fontId="0" fillId="8" borderId="0" xfId="0" applyNumberFormat="1" applyFill="1" applyAlignment="1">
      <alignment vertical="top"/>
    </xf>
    <xf numFmtId="0" fontId="0" fillId="8" borderId="0" xfId="0" applyFill="1" applyAlignment="1">
      <alignment horizontal="center"/>
    </xf>
    <xf numFmtId="0" fontId="6" fillId="2" borderId="44" xfId="0" applyFont="1" applyFill="1" applyBorder="1" applyAlignment="1">
      <alignment horizontal="center" vertical="top"/>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2" fillId="2" borderId="30"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6" xfId="0" applyFont="1" applyFill="1" applyBorder="1" applyAlignment="1">
      <alignment horizontal="center" vertical="top" wrapText="1"/>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cellXfs>
  <cellStyles count="2">
    <cellStyle name="20% - Accent3" xfId="1" builtinId="38"/>
    <cellStyle name="Normal" xfId="0" builtinId="0"/>
  </cellStyles>
  <dxfs count="84">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A34" zoomScale="130" zoomScaleNormal="130" workbookViewId="0">
      <selection activeCell="G21" sqref="G21"/>
    </sheetView>
  </sheetViews>
  <sheetFormatPr defaultRowHeight="14.5" x14ac:dyDescent="0.35"/>
  <cols>
    <col min="1" max="1" width="0.54296875" customWidth="1"/>
    <col min="2" max="2" width="11.81640625" customWidth="1"/>
    <col min="3" max="3" width="29.54296875" customWidth="1"/>
    <col min="4" max="4" width="22.54296875" customWidth="1"/>
    <col min="5" max="5" width="11.81640625" customWidth="1"/>
    <col min="6" max="6" width="5.7265625" customWidth="1"/>
    <col min="7" max="7" width="17" customWidth="1"/>
    <col min="8" max="8" width="15.81640625" customWidth="1"/>
    <col min="10" max="10" width="17.1796875" customWidth="1"/>
    <col min="11" max="11" width="16.08984375" customWidth="1"/>
  </cols>
  <sheetData>
    <row r="1" spans="1:13" ht="3.75" customHeight="1" thickBot="1" x14ac:dyDescent="0.4">
      <c r="A1" s="1"/>
      <c r="B1" s="1"/>
      <c r="C1" s="1"/>
      <c r="D1" s="1"/>
      <c r="E1" s="1"/>
      <c r="F1" s="1"/>
      <c r="G1" s="1"/>
      <c r="H1" s="1"/>
      <c r="I1" s="1"/>
      <c r="J1" s="1"/>
      <c r="K1" s="1"/>
      <c r="L1" s="1"/>
      <c r="M1" s="1"/>
    </row>
    <row r="2" spans="1:13" ht="15.75" customHeight="1" x14ac:dyDescent="0.35">
      <c r="A2" s="1"/>
      <c r="B2" s="172" t="s">
        <v>109</v>
      </c>
      <c r="C2" s="173"/>
      <c r="D2" s="173"/>
      <c r="E2" s="173"/>
      <c r="F2" s="173"/>
      <c r="G2" s="173"/>
      <c r="H2" s="173"/>
    </row>
    <row r="3" spans="1:13" ht="15.75" customHeight="1" thickBot="1" x14ac:dyDescent="0.4">
      <c r="A3" s="1"/>
      <c r="B3" s="174"/>
      <c r="C3" s="175"/>
      <c r="D3" s="175"/>
      <c r="E3" s="175"/>
      <c r="F3" s="175"/>
      <c r="G3" s="175"/>
      <c r="H3" s="175"/>
    </row>
    <row r="4" spans="1:13" ht="15" thickBot="1" x14ac:dyDescent="0.4">
      <c r="A4" s="1"/>
      <c r="B4" s="1"/>
      <c r="C4" s="1"/>
      <c r="D4" s="1"/>
      <c r="E4" s="1"/>
      <c r="F4" s="1"/>
      <c r="G4" s="1"/>
      <c r="H4" s="1"/>
      <c r="I4" s="1"/>
      <c r="J4" s="1"/>
      <c r="K4" s="1"/>
      <c r="L4" s="1"/>
      <c r="M4" s="1"/>
    </row>
    <row r="5" spans="1:13" ht="15.75" customHeight="1" thickBot="1" x14ac:dyDescent="0.4">
      <c r="A5" s="1"/>
      <c r="B5" s="162" t="s">
        <v>2</v>
      </c>
      <c r="C5" s="163"/>
      <c r="D5" s="176"/>
      <c r="E5" s="177"/>
      <c r="F5" s="177"/>
      <c r="G5" s="177"/>
      <c r="H5" s="178"/>
    </row>
    <row r="6" spans="1:13" ht="15.75" customHeight="1" thickBot="1" x14ac:dyDescent="0.4">
      <c r="A6" s="1"/>
      <c r="B6" s="162" t="s">
        <v>110</v>
      </c>
      <c r="C6" s="163"/>
      <c r="D6" s="176"/>
      <c r="E6" s="177"/>
      <c r="F6" s="177"/>
      <c r="G6" s="177"/>
      <c r="H6" s="178"/>
    </row>
    <row r="7" spans="1:13" x14ac:dyDescent="0.35">
      <c r="A7" s="1"/>
      <c r="B7" s="1"/>
      <c r="C7" s="1"/>
      <c r="D7" s="1"/>
      <c r="E7" s="1"/>
      <c r="F7" s="1"/>
      <c r="G7" s="1"/>
      <c r="H7" s="1"/>
      <c r="I7" s="1"/>
      <c r="J7" s="1"/>
      <c r="K7" s="1"/>
      <c r="L7" s="1"/>
    </row>
    <row r="8" spans="1:13" ht="15" thickBot="1" x14ac:dyDescent="0.4">
      <c r="A8" s="1"/>
      <c r="B8" s="1"/>
      <c r="C8" s="1"/>
      <c r="D8" s="1"/>
      <c r="E8" s="1"/>
      <c r="F8" s="1"/>
      <c r="G8" s="1"/>
      <c r="H8" s="1"/>
      <c r="I8" s="1"/>
      <c r="J8" s="1"/>
      <c r="K8" s="1"/>
      <c r="L8" s="1"/>
    </row>
    <row r="9" spans="1:13" ht="15.75" customHeight="1" thickBot="1" x14ac:dyDescent="0.4">
      <c r="A9" s="1"/>
      <c r="B9" s="162" t="s">
        <v>3</v>
      </c>
      <c r="C9" s="163"/>
      <c r="D9" s="163"/>
      <c r="E9" s="163"/>
      <c r="F9" s="163"/>
      <c r="G9" s="163"/>
      <c r="H9" s="164"/>
      <c r="I9" s="1"/>
      <c r="J9" s="1"/>
    </row>
    <row r="10" spans="1:13" ht="15.75" customHeight="1" thickBot="1" x14ac:dyDescent="0.4">
      <c r="A10" s="1"/>
      <c r="B10" s="6" t="s">
        <v>4</v>
      </c>
      <c r="C10" s="8" t="s">
        <v>5</v>
      </c>
      <c r="D10" s="102" t="s">
        <v>6</v>
      </c>
      <c r="E10" s="103" t="s">
        <v>23</v>
      </c>
      <c r="F10" s="104"/>
      <c r="G10" s="103"/>
      <c r="H10" s="46" t="s">
        <v>22</v>
      </c>
      <c r="I10" s="1"/>
    </row>
    <row r="11" spans="1:13" x14ac:dyDescent="0.35">
      <c r="A11" s="1"/>
      <c r="B11" s="109"/>
      <c r="C11" s="110"/>
      <c r="D11" s="111"/>
      <c r="E11" s="112"/>
      <c r="F11" s="117"/>
      <c r="G11" s="118"/>
      <c r="H11" s="113"/>
      <c r="I11" s="1"/>
    </row>
    <row r="12" spans="1:13" x14ac:dyDescent="0.35">
      <c r="A12" s="1"/>
      <c r="B12" s="2"/>
      <c r="C12" s="3"/>
      <c r="D12" s="101"/>
      <c r="E12" s="105"/>
      <c r="F12" s="115"/>
      <c r="G12" s="116"/>
      <c r="H12" s="107"/>
      <c r="I12" s="1"/>
    </row>
    <row r="13" spans="1:13" ht="15.75" customHeight="1" x14ac:dyDescent="0.35">
      <c r="A13" s="1"/>
      <c r="B13" s="2"/>
      <c r="C13" s="3"/>
      <c r="D13" s="101"/>
      <c r="E13" s="105"/>
      <c r="F13" s="115"/>
      <c r="G13" s="116"/>
      <c r="H13" s="107"/>
      <c r="I13" s="1"/>
    </row>
    <row r="14" spans="1:13" ht="15.75" customHeight="1" x14ac:dyDescent="0.35">
      <c r="A14" s="1"/>
      <c r="B14" s="2"/>
      <c r="C14" s="3"/>
      <c r="D14" s="101"/>
      <c r="E14" s="114"/>
      <c r="F14" s="115"/>
      <c r="G14" s="116"/>
      <c r="H14" s="107"/>
      <c r="I14" s="1"/>
    </row>
    <row r="15" spans="1:13" ht="15.75" customHeight="1" thickBot="1" x14ac:dyDescent="0.4">
      <c r="A15" s="1"/>
      <c r="B15" s="4"/>
      <c r="C15" s="5"/>
      <c r="D15" s="100"/>
      <c r="E15" s="106"/>
      <c r="F15" s="119"/>
      <c r="G15" s="120"/>
      <c r="H15" s="108"/>
      <c r="I15" s="1"/>
    </row>
    <row r="16" spans="1:13" ht="15.75" customHeight="1" x14ac:dyDescent="0.35">
      <c r="A16" s="1"/>
      <c r="B16" s="1"/>
      <c r="C16" s="1"/>
      <c r="D16" s="1"/>
      <c r="E16" s="1"/>
      <c r="F16" s="1"/>
      <c r="I16" s="1"/>
    </row>
    <row r="17" spans="1:13" ht="15.75" customHeight="1" thickBot="1" x14ac:dyDescent="0.4">
      <c r="A17" s="1"/>
      <c r="I17" s="1"/>
    </row>
    <row r="18" spans="1:13" ht="15.75" customHeight="1" thickBot="1" x14ac:dyDescent="0.4">
      <c r="A18" s="1"/>
      <c r="B18" s="162" t="s">
        <v>125</v>
      </c>
      <c r="C18" s="163"/>
      <c r="D18" s="163"/>
      <c r="E18" s="164"/>
      <c r="F18" s="1"/>
      <c r="G18" s="162" t="s">
        <v>122</v>
      </c>
      <c r="H18" s="163"/>
      <c r="I18" s="1"/>
      <c r="J18" s="162" t="s">
        <v>122</v>
      </c>
      <c r="K18" s="163"/>
    </row>
    <row r="19" spans="1:13" ht="15.75" customHeight="1" thickBot="1" x14ac:dyDescent="0.4">
      <c r="A19" s="1"/>
      <c r="B19" s="165" t="s">
        <v>7</v>
      </c>
      <c r="C19" s="166"/>
      <c r="D19" s="167"/>
      <c r="E19" s="7" t="s">
        <v>0</v>
      </c>
      <c r="F19" s="1"/>
      <c r="G19" s="168" t="str" cm="1">
        <f t="array" ref="G19">GetRawLetter(GetRawNumber(H21) * 0.5 + GetRawNumber(H22) * 0.15  + GetRawNumber(H23) * 0.1 + GetRawNumber(H24)  *0.15 + GetRawNumber(H25) * 0.1 + H26 + H27+H28)</f>
        <v>B</v>
      </c>
      <c r="H19" s="169"/>
      <c r="I19" s="1"/>
      <c r="J19" s="168" t="str" cm="1">
        <f t="array" ref="J19">GetRawLetter(GetRawNumber(K21) * 0.5 + GetRawNumber(K22) * 0.15  + GetRawNumber(K23) * 0.1 + GetRawNumber(K24)  *0.15 + GetRawNumber(K25) * 0.1 + K26 + K27+K28)</f>
        <v>C+</v>
      </c>
      <c r="K19" s="169"/>
    </row>
    <row r="20" spans="1:13" ht="15.75" customHeight="1" thickBot="1" x14ac:dyDescent="0.4">
      <c r="A20" s="1"/>
      <c r="B20" s="156"/>
      <c r="C20" s="157"/>
      <c r="D20" s="158"/>
      <c r="E20" s="47"/>
      <c r="F20" s="1"/>
      <c r="G20" s="170"/>
      <c r="H20" s="171"/>
      <c r="I20" s="1"/>
      <c r="J20" s="170"/>
      <c r="K20" s="171"/>
    </row>
    <row r="21" spans="1:13" ht="15" thickBot="1" x14ac:dyDescent="0.4">
      <c r="A21" s="1"/>
      <c r="B21" s="153"/>
      <c r="C21" s="154"/>
      <c r="D21" s="155"/>
      <c r="E21" s="48">
        <v>0</v>
      </c>
      <c r="F21" s="1"/>
      <c r="G21" s="9" t="s">
        <v>10</v>
      </c>
      <c r="H21" s="51" t="str">
        <f>Technical!E9</f>
        <v>B-</v>
      </c>
      <c r="I21" s="1"/>
      <c r="J21" s="9" t="s">
        <v>10</v>
      </c>
      <c r="K21" s="51" t="s">
        <v>127</v>
      </c>
      <c r="L21" s="1"/>
    </row>
    <row r="22" spans="1:13" ht="15" thickBot="1" x14ac:dyDescent="0.4">
      <c r="A22" s="1"/>
      <c r="B22" s="153"/>
      <c r="C22" s="154"/>
      <c r="D22" s="155"/>
      <c r="E22" s="48">
        <v>0</v>
      </c>
      <c r="F22" s="1"/>
      <c r="G22" s="151" t="s">
        <v>108</v>
      </c>
      <c r="H22" s="52" t="str">
        <f>'User Acceptance'!E9</f>
        <v>B+</v>
      </c>
      <c r="I22" s="1"/>
      <c r="J22" s="151" t="s">
        <v>108</v>
      </c>
      <c r="K22" s="52" t="s">
        <v>127</v>
      </c>
      <c r="L22" s="1"/>
    </row>
    <row r="23" spans="1:13" ht="15" thickBot="1" x14ac:dyDescent="0.4">
      <c r="A23" s="1"/>
      <c r="B23" s="153"/>
      <c r="C23" s="154"/>
      <c r="D23" s="155"/>
      <c r="E23" s="48">
        <v>0</v>
      </c>
      <c r="F23" s="1"/>
      <c r="G23" s="10" t="s">
        <v>12</v>
      </c>
      <c r="H23" s="52" t="str">
        <f>Interactivity!E8</f>
        <v>A</v>
      </c>
      <c r="J23" s="10" t="s">
        <v>12</v>
      </c>
      <c r="K23" s="52" t="s">
        <v>127</v>
      </c>
      <c r="L23" s="1"/>
    </row>
    <row r="24" spans="1:13" ht="15.75" customHeight="1" thickBot="1" x14ac:dyDescent="0.4">
      <c r="A24" s="1"/>
      <c r="B24" s="159"/>
      <c r="C24" s="160"/>
      <c r="D24" s="161"/>
      <c r="E24" s="49">
        <v>0</v>
      </c>
      <c r="F24" s="1"/>
      <c r="G24" s="10" t="s">
        <v>24</v>
      </c>
      <c r="H24" s="52" t="str">
        <f>Feedback!E10</f>
        <v>A</v>
      </c>
      <c r="J24" s="10" t="s">
        <v>24</v>
      </c>
      <c r="K24" s="52" t="str">
        <f>Feedback!F10</f>
        <v>E</v>
      </c>
      <c r="L24" s="1"/>
    </row>
    <row r="25" spans="1:13" ht="15" thickBot="1" x14ac:dyDescent="0.4">
      <c r="A25" s="1"/>
      <c r="B25" s="13" t="s">
        <v>1</v>
      </c>
      <c r="C25" s="14"/>
      <c r="D25" s="14"/>
      <c r="E25" s="121">
        <f>SUM(E20:E24)</f>
        <v>0</v>
      </c>
      <c r="F25" s="1"/>
      <c r="G25" s="11" t="s">
        <v>13</v>
      </c>
      <c r="H25" s="53" t="str">
        <f>Appeal!E8</f>
        <v>A</v>
      </c>
      <c r="J25" s="11" t="s">
        <v>13</v>
      </c>
      <c r="K25" s="53" t="s">
        <v>127</v>
      </c>
      <c r="L25" s="1"/>
    </row>
    <row r="26" spans="1:13" ht="15.75" customHeight="1" thickBot="1" x14ac:dyDescent="0.4">
      <c r="A26" s="1"/>
      <c r="G26" s="12" t="s">
        <v>17</v>
      </c>
      <c r="H26" s="65">
        <f>TCR!E50</f>
        <v>0</v>
      </c>
      <c r="J26" s="12" t="s">
        <v>17</v>
      </c>
      <c r="K26" s="65">
        <f>TCR!F50</f>
        <v>-1</v>
      </c>
      <c r="M26" s="1"/>
    </row>
    <row r="27" spans="1:13" ht="15.75" customHeight="1" thickBot="1" x14ac:dyDescent="0.4">
      <c r="A27" s="1"/>
      <c r="B27" s="162" t="s">
        <v>126</v>
      </c>
      <c r="C27" s="163"/>
      <c r="D27" s="163"/>
      <c r="E27" s="164"/>
      <c r="G27" s="12" t="s">
        <v>18</v>
      </c>
      <c r="H27" s="54">
        <f>E25</f>
        <v>0</v>
      </c>
      <c r="J27" s="12" t="s">
        <v>18</v>
      </c>
      <c r="K27" s="54">
        <f>E34</f>
        <v>4</v>
      </c>
      <c r="M27" s="1"/>
    </row>
    <row r="28" spans="1:13" ht="15.75" customHeight="1" thickBot="1" x14ac:dyDescent="0.4">
      <c r="A28" s="1"/>
      <c r="B28" s="165" t="s">
        <v>7</v>
      </c>
      <c r="C28" s="166"/>
      <c r="D28" s="167"/>
      <c r="E28" s="7" t="s">
        <v>0</v>
      </c>
      <c r="G28" s="12" t="s">
        <v>14</v>
      </c>
      <c r="H28" s="54">
        <f>E45</f>
        <v>0</v>
      </c>
      <c r="J28" s="12" t="s">
        <v>14</v>
      </c>
      <c r="K28" s="54">
        <f>H45</f>
        <v>0</v>
      </c>
      <c r="M28" s="1"/>
    </row>
    <row r="29" spans="1:13" ht="15.75" customHeight="1" x14ac:dyDescent="0.35">
      <c r="A29" s="1"/>
      <c r="B29" s="156"/>
      <c r="C29" s="157"/>
      <c r="D29" s="158"/>
      <c r="E29" s="47"/>
      <c r="G29" s="1"/>
      <c r="H29" s="1"/>
      <c r="M29" s="1"/>
    </row>
    <row r="30" spans="1:13" ht="15.75" customHeight="1" x14ac:dyDescent="0.35">
      <c r="A30" s="1"/>
      <c r="B30" s="153"/>
      <c r="C30" s="154"/>
      <c r="D30" s="155"/>
      <c r="E30" s="48">
        <v>4</v>
      </c>
      <c r="G30" s="1"/>
      <c r="H30" s="1"/>
    </row>
    <row r="31" spans="1:13" ht="15.75" customHeight="1" x14ac:dyDescent="0.35">
      <c r="A31" s="1"/>
      <c r="B31" s="153"/>
      <c r="C31" s="154"/>
      <c r="D31" s="155"/>
      <c r="E31" s="48">
        <v>0</v>
      </c>
    </row>
    <row r="32" spans="1:13" x14ac:dyDescent="0.35">
      <c r="A32" s="1"/>
      <c r="B32" s="153"/>
      <c r="C32" s="154"/>
      <c r="D32" s="155"/>
      <c r="E32" s="48">
        <v>0</v>
      </c>
    </row>
    <row r="33" spans="1:8" ht="15" thickBot="1" x14ac:dyDescent="0.4">
      <c r="A33" s="1"/>
      <c r="B33" s="159"/>
      <c r="C33" s="160"/>
      <c r="D33" s="161"/>
      <c r="E33" s="49">
        <v>0</v>
      </c>
    </row>
    <row r="34" spans="1:8" ht="15" thickBot="1" x14ac:dyDescent="0.4">
      <c r="A34" s="1"/>
      <c r="B34" s="13" t="s">
        <v>1</v>
      </c>
      <c r="C34" s="14"/>
      <c r="D34" s="14"/>
      <c r="E34" s="121">
        <f>SUM(E29:E33)</f>
        <v>4</v>
      </c>
    </row>
    <row r="35" spans="1:8" ht="15.75" customHeight="1" x14ac:dyDescent="0.35">
      <c r="A35" s="1"/>
    </row>
    <row r="36" spans="1:8" ht="15.75" customHeight="1" x14ac:dyDescent="0.35">
      <c r="A36" s="1"/>
    </row>
    <row r="37" spans="1:8" ht="15" thickBot="1" x14ac:dyDescent="0.4">
      <c r="A37" s="1"/>
    </row>
    <row r="38" spans="1:8" ht="16" thickBot="1" x14ac:dyDescent="0.4">
      <c r="A38" s="1"/>
      <c r="B38" s="162" t="s">
        <v>29</v>
      </c>
      <c r="C38" s="163"/>
      <c r="D38" s="163"/>
      <c r="E38" s="164"/>
    </row>
    <row r="39" spans="1:8" ht="15.75" customHeight="1" thickBot="1" x14ac:dyDescent="0.4">
      <c r="A39" s="1"/>
      <c r="B39" s="165" t="s">
        <v>7</v>
      </c>
      <c r="C39" s="166"/>
      <c r="D39" s="167"/>
      <c r="E39" s="7" t="s">
        <v>0</v>
      </c>
    </row>
    <row r="40" spans="1:8" x14ac:dyDescent="0.35">
      <c r="A40" s="1"/>
      <c r="B40" s="156" t="s">
        <v>15</v>
      </c>
      <c r="C40" s="157"/>
      <c r="D40" s="158"/>
      <c r="E40" s="47">
        <v>0</v>
      </c>
    </row>
    <row r="41" spans="1:8" x14ac:dyDescent="0.35">
      <c r="A41" s="1"/>
      <c r="B41" s="153" t="s">
        <v>16</v>
      </c>
      <c r="C41" s="154"/>
      <c r="D41" s="155"/>
      <c r="E41" s="48">
        <v>0</v>
      </c>
    </row>
    <row r="42" spans="1:8" x14ac:dyDescent="0.35">
      <c r="A42" s="1"/>
      <c r="B42" s="153"/>
      <c r="C42" s="154"/>
      <c r="D42" s="155"/>
      <c r="E42" s="48">
        <v>0</v>
      </c>
      <c r="G42" s="1"/>
      <c r="H42" s="1"/>
    </row>
    <row r="43" spans="1:8" x14ac:dyDescent="0.35">
      <c r="A43" s="1"/>
      <c r="B43" s="153"/>
      <c r="C43" s="154"/>
      <c r="D43" s="155"/>
      <c r="E43" s="48">
        <v>0</v>
      </c>
      <c r="G43" s="1"/>
      <c r="H43" s="1"/>
    </row>
    <row r="44" spans="1:8" ht="15" thickBot="1" x14ac:dyDescent="0.4">
      <c r="A44" s="1"/>
      <c r="B44" s="153"/>
      <c r="C44" s="154"/>
      <c r="D44" s="155"/>
      <c r="E44" s="49">
        <v>0</v>
      </c>
      <c r="G44" s="1"/>
      <c r="H44" s="1"/>
    </row>
    <row r="45" spans="1:8" ht="15" thickBot="1" x14ac:dyDescent="0.4">
      <c r="A45" s="1"/>
      <c r="B45" s="13" t="s">
        <v>1</v>
      </c>
      <c r="C45" s="14"/>
      <c r="D45" s="14"/>
      <c r="E45" s="121">
        <f>SUM(E40:E44)</f>
        <v>0</v>
      </c>
      <c r="G45" s="1"/>
      <c r="H45" s="1"/>
    </row>
    <row r="46" spans="1:8" ht="15" customHeight="1" x14ac:dyDescent="0.35">
      <c r="A46" s="1"/>
      <c r="G46" s="1"/>
      <c r="H46" s="1"/>
    </row>
    <row r="47" spans="1:8" x14ac:dyDescent="0.35">
      <c r="A47" s="1"/>
      <c r="G47" s="1"/>
      <c r="H47" s="1"/>
    </row>
    <row r="48" spans="1:8" x14ac:dyDescent="0.35">
      <c r="A48" s="1"/>
      <c r="G48" s="1"/>
      <c r="H48" s="1"/>
    </row>
    <row r="49" spans="1:8" x14ac:dyDescent="0.35">
      <c r="A49" s="1"/>
      <c r="G49" s="1"/>
      <c r="H49" s="1"/>
    </row>
    <row r="50" spans="1:8" x14ac:dyDescent="0.35">
      <c r="A50" s="1"/>
      <c r="G50" s="1"/>
      <c r="H50" s="1"/>
    </row>
    <row r="51" spans="1:8" x14ac:dyDescent="0.35">
      <c r="A51" s="1"/>
      <c r="G51" s="1"/>
      <c r="H51" s="1"/>
    </row>
    <row r="52" spans="1:8" x14ac:dyDescent="0.35">
      <c r="A52" s="1"/>
      <c r="G52" s="1"/>
      <c r="H52" s="1"/>
    </row>
    <row r="53" spans="1:8" x14ac:dyDescent="0.35">
      <c r="A53" s="1"/>
      <c r="G53" s="1"/>
      <c r="H53" s="1"/>
    </row>
    <row r="54" spans="1:8" x14ac:dyDescent="0.35">
      <c r="A54" s="1"/>
      <c r="G54" s="1"/>
      <c r="H54" s="1"/>
    </row>
    <row r="55" spans="1:8" x14ac:dyDescent="0.35">
      <c r="A55" s="1"/>
      <c r="G55" s="1"/>
    </row>
  </sheetData>
  <sheetProtection selectLockedCells="1"/>
  <mergeCells count="31">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85" zoomScaleNormal="85" workbookViewId="0">
      <selection activeCell="F9" sqref="F9"/>
    </sheetView>
  </sheetViews>
  <sheetFormatPr defaultRowHeight="14.5" x14ac:dyDescent="0.35"/>
  <cols>
    <col min="1" max="1" width="0.54296875" customWidth="1"/>
    <col min="2" max="2" width="9" bestFit="1" customWidth="1"/>
    <col min="3" max="3" width="13.26953125" customWidth="1"/>
    <col min="4" max="4" width="70.54296875" customWidth="1"/>
    <col min="5" max="6" width="14.26953125" customWidth="1"/>
    <col min="7" max="7" width="91" customWidth="1"/>
  </cols>
  <sheetData>
    <row r="1" spans="2:7" x14ac:dyDescent="0.35">
      <c r="B1" s="15"/>
      <c r="C1" s="16"/>
      <c r="D1" s="179" t="s">
        <v>20</v>
      </c>
      <c r="E1" s="17"/>
      <c r="F1" s="17"/>
      <c r="G1" s="18"/>
    </row>
    <row r="2" spans="2:7" ht="24" thickBot="1" x14ac:dyDescent="0.4">
      <c r="B2" s="19">
        <v>0.5</v>
      </c>
      <c r="C2" s="20"/>
      <c r="D2" s="180"/>
      <c r="E2" s="21"/>
      <c r="F2" s="22"/>
      <c r="G2" s="23"/>
    </row>
    <row r="3" spans="2:7" ht="15" thickBot="1" x14ac:dyDescent="0.4">
      <c r="B3" s="78"/>
      <c r="C3" s="24"/>
      <c r="D3" s="25" t="s">
        <v>8</v>
      </c>
      <c r="E3" s="26" t="s">
        <v>116</v>
      </c>
      <c r="F3" s="25" t="s">
        <v>117</v>
      </c>
      <c r="G3" s="27" t="s">
        <v>11</v>
      </c>
    </row>
    <row r="4" spans="2:7" s="58" customFormat="1" ht="43.5" x14ac:dyDescent="0.35">
      <c r="B4" s="28">
        <v>0.5</v>
      </c>
      <c r="C4" s="181"/>
      <c r="D4" s="91" t="s">
        <v>67</v>
      </c>
      <c r="E4" s="92" t="s">
        <v>123</v>
      </c>
      <c r="F4" s="93" t="s">
        <v>120</v>
      </c>
      <c r="G4" s="31"/>
    </row>
    <row r="5" spans="2:7" s="58" customFormat="1" ht="29" x14ac:dyDescent="0.35">
      <c r="B5" s="74">
        <v>0.25</v>
      </c>
      <c r="C5" s="182"/>
      <c r="D5" s="81" t="s">
        <v>65</v>
      </c>
      <c r="E5" s="84" t="s">
        <v>123</v>
      </c>
      <c r="F5" s="82" t="s">
        <v>120</v>
      </c>
      <c r="G5" s="57"/>
    </row>
    <row r="6" spans="2:7" s="58" customFormat="1" ht="29.5" thickBot="1" x14ac:dyDescent="0.4">
      <c r="B6" s="36">
        <v>0.25</v>
      </c>
      <c r="C6" s="182"/>
      <c r="D6" s="96" t="s">
        <v>66</v>
      </c>
      <c r="E6" s="83" t="s">
        <v>123</v>
      </c>
      <c r="F6" s="97" t="s">
        <v>120</v>
      </c>
      <c r="G6" s="86"/>
    </row>
    <row r="7" spans="2:7" s="58" customFormat="1" ht="44" thickBot="1" x14ac:dyDescent="0.4">
      <c r="B7" s="145" t="s">
        <v>115</v>
      </c>
      <c r="C7" s="40" t="s">
        <v>64</v>
      </c>
      <c r="D7" s="98" t="s">
        <v>69</v>
      </c>
      <c r="E7" s="99">
        <v>2</v>
      </c>
      <c r="F7" s="87">
        <v>0</v>
      </c>
      <c r="G7" s="88"/>
    </row>
    <row r="8" spans="2:7" s="58" customFormat="1" ht="44" thickBot="1" x14ac:dyDescent="0.4">
      <c r="B8" s="146" t="s">
        <v>119</v>
      </c>
      <c r="C8" s="73" t="s">
        <v>63</v>
      </c>
      <c r="D8" s="79" t="s">
        <v>68</v>
      </c>
      <c r="E8" s="94">
        <v>0</v>
      </c>
      <c r="F8" s="95">
        <v>2</v>
      </c>
      <c r="G8" s="75"/>
    </row>
    <row r="9" spans="2:7" ht="15.5" thickTop="1" thickBot="1" x14ac:dyDescent="0.4">
      <c r="B9" s="56"/>
      <c r="C9" s="42"/>
      <c r="D9" s="77" t="s">
        <v>19</v>
      </c>
      <c r="E9" s="44" t="str" cm="1">
        <f t="array" ref="E9">GetRawLetter(GetRawNumber(E4) * 0.5 + GetRawNumber(E5) * 0.25 + GetRawNumber(E6) * 0.25+ E7- E8)</f>
        <v>B-</v>
      </c>
      <c r="F9" s="44" t="str" cm="1">
        <f t="array" ref="F9">GetRawLetter(GetRawNumber(F4) * 0.5 + GetRawNumber(F5) * 0.25 + GetRawNumber(F6) * 0.25+ F7- F8)</f>
        <v>F</v>
      </c>
      <c r="G9" s="45"/>
    </row>
    <row r="10" spans="2:7" x14ac:dyDescent="0.35">
      <c r="B10" s="58"/>
      <c r="C10" s="58"/>
      <c r="D10" s="58"/>
      <c r="E10" s="58"/>
      <c r="F10" s="58"/>
      <c r="G10" s="58"/>
    </row>
    <row r="11" spans="2:7" x14ac:dyDescent="0.35">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1" sqref="F11"/>
    </sheetView>
  </sheetViews>
  <sheetFormatPr defaultRowHeight="14.5" x14ac:dyDescent="0.35"/>
  <cols>
    <col min="1" max="1" width="0.54296875" customWidth="1"/>
    <col min="2" max="2" width="9" bestFit="1" customWidth="1"/>
    <col min="3" max="3" width="13.26953125" customWidth="1"/>
    <col min="4" max="4" width="70.54296875" customWidth="1"/>
    <col min="5" max="6" width="14.26953125" customWidth="1"/>
    <col min="7" max="7" width="91" customWidth="1"/>
  </cols>
  <sheetData>
    <row r="1" spans="2:7" ht="3.75" customHeight="1" thickBot="1" x14ac:dyDescent="0.4"/>
    <row r="2" spans="2:7" ht="15" customHeight="1" x14ac:dyDescent="0.35">
      <c r="B2" s="15"/>
      <c r="C2" s="16"/>
      <c r="D2" s="183" t="s">
        <v>108</v>
      </c>
      <c r="E2" s="17"/>
      <c r="F2" s="17"/>
      <c r="G2" s="18"/>
    </row>
    <row r="3" spans="2:7" ht="15" customHeight="1" thickBot="1" x14ac:dyDescent="0.4">
      <c r="B3" s="19">
        <v>0.15</v>
      </c>
      <c r="C3" s="20"/>
      <c r="D3" s="184"/>
      <c r="E3" s="21"/>
      <c r="F3" s="22"/>
      <c r="G3" s="23"/>
    </row>
    <row r="4" spans="2:7" ht="15" customHeight="1" thickBot="1" x14ac:dyDescent="0.4">
      <c r="B4" s="24"/>
      <c r="C4" s="24"/>
      <c r="D4" s="25" t="s">
        <v>8</v>
      </c>
      <c r="E4" s="26" t="s">
        <v>116</v>
      </c>
      <c r="F4" s="25" t="s">
        <v>117</v>
      </c>
      <c r="G4" s="27" t="s">
        <v>11</v>
      </c>
    </row>
    <row r="5" spans="2:7" ht="29" x14ac:dyDescent="0.35">
      <c r="B5" s="28">
        <v>0.5</v>
      </c>
      <c r="C5" s="181"/>
      <c r="D5" s="29" t="s">
        <v>105</v>
      </c>
      <c r="E5" s="50" t="s">
        <v>118</v>
      </c>
      <c r="F5" s="30" t="s">
        <v>120</v>
      </c>
      <c r="G5" s="31"/>
    </row>
    <row r="6" spans="2:7" ht="29" x14ac:dyDescent="0.35">
      <c r="B6" s="32">
        <v>0.25</v>
      </c>
      <c r="C6" s="182"/>
      <c r="D6" s="33" t="s">
        <v>107</v>
      </c>
      <c r="E6" s="55" t="s">
        <v>118</v>
      </c>
      <c r="F6" s="34" t="s">
        <v>120</v>
      </c>
      <c r="G6" s="35"/>
    </row>
    <row r="7" spans="2:7" ht="29" x14ac:dyDescent="0.35">
      <c r="B7" s="36">
        <v>0.25</v>
      </c>
      <c r="C7" s="185"/>
      <c r="D7" s="37" t="s">
        <v>106</v>
      </c>
      <c r="E7" s="76" t="s">
        <v>118</v>
      </c>
      <c r="F7" s="85" t="s">
        <v>120</v>
      </c>
      <c r="G7" s="86"/>
    </row>
    <row r="8" spans="2:7" s="142" customFormat="1" ht="43.5" x14ac:dyDescent="0.35">
      <c r="B8" s="147" t="s">
        <v>119</v>
      </c>
      <c r="C8" s="140" t="s">
        <v>63</v>
      </c>
      <c r="D8" s="137" t="s">
        <v>27</v>
      </c>
      <c r="E8" s="141">
        <v>2</v>
      </c>
      <c r="F8" s="138">
        <v>2</v>
      </c>
      <c r="G8" s="139"/>
    </row>
    <row r="9" spans="2:7" ht="15" customHeight="1" thickBot="1" x14ac:dyDescent="0.4">
      <c r="B9" s="41"/>
      <c r="C9" s="42"/>
      <c r="D9" s="43" t="s">
        <v>19</v>
      </c>
      <c r="E9" s="62" t="str" cm="1">
        <f t="array" ref="E9">GetRawLetter(GetRawNumber(E5) * 0.5 + GetRawNumber(E6) * 0.25 + GetRawNumber(E7) * 0.25 - E8 )</f>
        <v>B+</v>
      </c>
      <c r="F9" s="62" t="str" cm="1">
        <f t="array" ref="F9">GetRawLetter(GetRawNumber(F5) * 0.5 + GetRawNumber(F6) * 0.25 + GetRawNumber(F7) * 0.25 - F8 )</f>
        <v>F</v>
      </c>
      <c r="G9" s="64"/>
    </row>
    <row r="10" spans="2:7" ht="15" customHeight="1" x14ac:dyDescent="0.35"/>
    <row r="11" spans="2:7" ht="15" customHeight="1" x14ac:dyDescent="0.35"/>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E8" sqref="E8"/>
    </sheetView>
  </sheetViews>
  <sheetFormatPr defaultRowHeight="14.5" x14ac:dyDescent="0.35"/>
  <cols>
    <col min="1" max="1" width="0.54296875" customWidth="1"/>
    <col min="2" max="2" width="9" bestFit="1" customWidth="1"/>
    <col min="3" max="3" width="13.26953125" customWidth="1"/>
    <col min="4" max="4" width="70.54296875" customWidth="1"/>
    <col min="5" max="6" width="14.26953125" customWidth="1"/>
    <col min="7" max="7" width="91" customWidth="1"/>
  </cols>
  <sheetData>
    <row r="1" spans="2:7" ht="3.75" customHeight="1" thickBot="1" x14ac:dyDescent="0.4"/>
    <row r="2" spans="2:7" ht="15" customHeight="1" x14ac:dyDescent="0.35">
      <c r="B2" s="15"/>
      <c r="C2" s="16"/>
      <c r="D2" s="183" t="s">
        <v>12</v>
      </c>
      <c r="E2" s="17"/>
      <c r="F2" s="17"/>
      <c r="G2" s="18"/>
    </row>
    <row r="3" spans="2:7" ht="15" customHeight="1" thickBot="1" x14ac:dyDescent="0.4">
      <c r="B3" s="19">
        <v>0.1</v>
      </c>
      <c r="C3" s="20"/>
      <c r="D3" s="184"/>
      <c r="E3" s="21"/>
      <c r="F3" s="22"/>
      <c r="G3" s="23"/>
    </row>
    <row r="4" spans="2:7" ht="15" customHeight="1" thickBot="1" x14ac:dyDescent="0.4">
      <c r="B4" s="24"/>
      <c r="C4" s="24"/>
      <c r="D4" s="25" t="s">
        <v>8</v>
      </c>
      <c r="E4" s="26" t="s">
        <v>116</v>
      </c>
      <c r="F4" s="25" t="s">
        <v>117</v>
      </c>
      <c r="G4" s="27" t="s">
        <v>11</v>
      </c>
    </row>
    <row r="5" spans="2:7" ht="29" x14ac:dyDescent="0.35">
      <c r="B5" s="28">
        <v>0.5</v>
      </c>
      <c r="C5" s="186"/>
      <c r="D5" s="29" t="s">
        <v>28</v>
      </c>
      <c r="E5" s="50" t="s">
        <v>118</v>
      </c>
      <c r="F5" s="30" t="s">
        <v>120</v>
      </c>
      <c r="G5" s="31"/>
    </row>
    <row r="6" spans="2:7" ht="29" x14ac:dyDescent="0.35">
      <c r="B6" s="32">
        <v>0.25</v>
      </c>
      <c r="C6" s="187"/>
      <c r="D6" s="33" t="s">
        <v>114</v>
      </c>
      <c r="E6" s="55" t="s">
        <v>118</v>
      </c>
      <c r="F6" s="34" t="s">
        <v>120</v>
      </c>
      <c r="G6" s="35"/>
    </row>
    <row r="7" spans="2:7" ht="29.5" thickBot="1" x14ac:dyDescent="0.4">
      <c r="B7" s="32">
        <v>0.25</v>
      </c>
      <c r="C7" s="187"/>
      <c r="D7" s="33" t="s">
        <v>112</v>
      </c>
      <c r="E7" s="55" t="s">
        <v>118</v>
      </c>
      <c r="F7" s="34" t="s">
        <v>120</v>
      </c>
      <c r="G7" s="35"/>
    </row>
    <row r="8" spans="2:7" ht="15" customHeight="1" thickBot="1" x14ac:dyDescent="0.4">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35"/>
    <row r="10" spans="2:7" ht="15" customHeight="1" x14ac:dyDescent="0.35"/>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F10" sqref="F10"/>
    </sheetView>
  </sheetViews>
  <sheetFormatPr defaultRowHeight="14.5" x14ac:dyDescent="0.35"/>
  <cols>
    <col min="1" max="1" width="0.54296875" customWidth="1"/>
    <col min="2" max="2" width="9" bestFit="1" customWidth="1"/>
    <col min="3" max="3" width="13.26953125" customWidth="1"/>
    <col min="4" max="4" width="70.54296875" customWidth="1"/>
    <col min="5" max="6" width="14.26953125" customWidth="1"/>
    <col min="7" max="7" width="91" customWidth="1"/>
  </cols>
  <sheetData>
    <row r="1" spans="2:7" ht="3.75" customHeight="1" thickBot="1" x14ac:dyDescent="0.4"/>
    <row r="2" spans="2:7" ht="15" customHeight="1" x14ac:dyDescent="0.35">
      <c r="B2" s="15"/>
      <c r="C2" s="16"/>
      <c r="D2" s="183" t="s">
        <v>21</v>
      </c>
      <c r="E2" s="17"/>
      <c r="F2" s="17"/>
      <c r="G2" s="18"/>
    </row>
    <row r="3" spans="2:7" ht="15" customHeight="1" thickBot="1" x14ac:dyDescent="0.4">
      <c r="B3" s="19">
        <v>0.15</v>
      </c>
      <c r="C3" s="20"/>
      <c r="D3" s="184"/>
      <c r="E3" s="21"/>
      <c r="F3" s="22"/>
      <c r="G3" s="23"/>
    </row>
    <row r="4" spans="2:7" ht="15" customHeight="1" thickBot="1" x14ac:dyDescent="0.4">
      <c r="B4" s="24"/>
      <c r="C4" s="24"/>
      <c r="D4" s="25" t="s">
        <v>8</v>
      </c>
      <c r="E4" s="26" t="s">
        <v>116</v>
      </c>
      <c r="F4" s="25" t="s">
        <v>117</v>
      </c>
      <c r="G4" s="27" t="s">
        <v>11</v>
      </c>
    </row>
    <row r="5" spans="2:7" ht="29" x14ac:dyDescent="0.35">
      <c r="B5" s="28">
        <v>0.5</v>
      </c>
      <c r="C5" s="186"/>
      <c r="D5" s="29" t="s">
        <v>32</v>
      </c>
      <c r="E5" s="50" t="s">
        <v>118</v>
      </c>
      <c r="F5" s="30" t="s">
        <v>120</v>
      </c>
      <c r="G5" s="31"/>
    </row>
    <row r="6" spans="2:7" ht="29" x14ac:dyDescent="0.35">
      <c r="B6" s="32">
        <v>0.15</v>
      </c>
      <c r="C6" s="187"/>
      <c r="D6" s="33" t="s">
        <v>30</v>
      </c>
      <c r="E6" s="55" t="s">
        <v>118</v>
      </c>
      <c r="F6" s="34" t="s">
        <v>120</v>
      </c>
      <c r="G6" s="35"/>
    </row>
    <row r="7" spans="2:7" ht="29" x14ac:dyDescent="0.35">
      <c r="B7" s="32">
        <v>0.15</v>
      </c>
      <c r="C7" s="187"/>
      <c r="D7" s="33" t="s">
        <v>33</v>
      </c>
      <c r="E7" s="55" t="s">
        <v>118</v>
      </c>
      <c r="F7" s="34" t="s">
        <v>120</v>
      </c>
      <c r="G7" s="35"/>
    </row>
    <row r="8" spans="2:7" ht="29" x14ac:dyDescent="0.35">
      <c r="B8" s="32">
        <v>0.15</v>
      </c>
      <c r="C8" s="187"/>
      <c r="D8" s="33" t="s">
        <v>103</v>
      </c>
      <c r="E8" s="55" t="s">
        <v>118</v>
      </c>
      <c r="F8" s="34" t="s">
        <v>120</v>
      </c>
      <c r="G8" s="35"/>
    </row>
    <row r="9" spans="2:7" ht="29.5" thickBot="1" x14ac:dyDescent="0.4">
      <c r="B9" s="36">
        <v>0.05</v>
      </c>
      <c r="C9" s="187"/>
      <c r="D9" s="37" t="s">
        <v>70</v>
      </c>
      <c r="E9" s="55" t="s">
        <v>118</v>
      </c>
      <c r="F9" s="38" t="s">
        <v>118</v>
      </c>
      <c r="G9" s="39"/>
    </row>
    <row r="10" spans="2:7" ht="15" customHeight="1" thickBot="1" x14ac:dyDescent="0.4">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35"/>
    <row r="12" spans="2:7" ht="15" customHeight="1" x14ac:dyDescent="0.35"/>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8" sqref="E8"/>
    </sheetView>
  </sheetViews>
  <sheetFormatPr defaultRowHeight="14.5" x14ac:dyDescent="0.35"/>
  <cols>
    <col min="1" max="1" width="0.54296875" customWidth="1"/>
    <col min="2" max="2" width="9" bestFit="1" customWidth="1"/>
    <col min="3" max="3" width="13.26953125" customWidth="1"/>
    <col min="4" max="4" width="70.54296875" customWidth="1"/>
    <col min="5" max="6" width="14.26953125" customWidth="1"/>
    <col min="7" max="7" width="91" customWidth="1"/>
  </cols>
  <sheetData>
    <row r="1" spans="2:7" ht="3.75" customHeight="1" thickBot="1" x14ac:dyDescent="0.4"/>
    <row r="2" spans="2:7" ht="15" customHeight="1" x14ac:dyDescent="0.35">
      <c r="B2" s="15"/>
      <c r="C2" s="16"/>
      <c r="D2" s="183" t="s">
        <v>13</v>
      </c>
      <c r="E2" s="17"/>
      <c r="F2" s="17"/>
      <c r="G2" s="18"/>
    </row>
    <row r="3" spans="2:7" ht="15" customHeight="1" thickBot="1" x14ac:dyDescent="0.4">
      <c r="B3" s="19">
        <v>0.1</v>
      </c>
      <c r="C3" s="20"/>
      <c r="D3" s="184"/>
      <c r="E3" s="21"/>
      <c r="F3" s="22"/>
      <c r="G3" s="23"/>
    </row>
    <row r="4" spans="2:7" ht="15" customHeight="1" thickBot="1" x14ac:dyDescent="0.4">
      <c r="B4" s="24"/>
      <c r="C4" s="24"/>
      <c r="D4" s="25" t="s">
        <v>8</v>
      </c>
      <c r="E4" s="26" t="s">
        <v>116</v>
      </c>
      <c r="F4" s="25" t="s">
        <v>117</v>
      </c>
      <c r="G4" s="27" t="s">
        <v>11</v>
      </c>
    </row>
    <row r="5" spans="2:7" ht="29" x14ac:dyDescent="0.35">
      <c r="B5" s="28">
        <v>0.4</v>
      </c>
      <c r="C5" s="186"/>
      <c r="D5" s="29" t="s">
        <v>25</v>
      </c>
      <c r="E5" s="50" t="s">
        <v>118</v>
      </c>
      <c r="F5" s="30" t="s">
        <v>120</v>
      </c>
      <c r="G5" s="31"/>
    </row>
    <row r="6" spans="2:7" ht="29" x14ac:dyDescent="0.35">
      <c r="B6" s="32">
        <v>0.4</v>
      </c>
      <c r="C6" s="188"/>
      <c r="D6" s="33" t="s">
        <v>26</v>
      </c>
      <c r="E6" s="55" t="s">
        <v>118</v>
      </c>
      <c r="F6" s="34" t="s">
        <v>120</v>
      </c>
      <c r="G6" s="35"/>
    </row>
    <row r="7" spans="2:7" ht="29.5" thickBot="1" x14ac:dyDescent="0.4">
      <c r="B7" s="89">
        <v>0.2</v>
      </c>
      <c r="C7" s="189"/>
      <c r="D7" s="90" t="s">
        <v>31</v>
      </c>
      <c r="E7" s="80" t="s">
        <v>118</v>
      </c>
      <c r="F7" s="38" t="s">
        <v>120</v>
      </c>
      <c r="G7" s="39"/>
    </row>
    <row r="8" spans="2:7" ht="15" customHeight="1" thickBot="1" x14ac:dyDescent="0.4">
      <c r="B8" s="41"/>
      <c r="C8" s="42"/>
      <c r="D8" s="43" t="s">
        <v>19</v>
      </c>
      <c r="E8" s="62" t="str" cm="1">
        <f t="array" ref="E8">GetRawLetter(GetRawNumber(E5) * 0.4 + GetRawNumber( E6 ) *0.4 + GetRawNumber(E7) * 0.2)</f>
        <v>A</v>
      </c>
      <c r="F8" s="62" t="str" cm="1">
        <f t="array" ref="F8">GetRawLetter(GetRawNumber(F5) * 0.4 + GetRawNumber( F6 ) *0.4 + GetRawNumber(F7) * 0.2)</f>
        <v>F</v>
      </c>
      <c r="G8" s="64"/>
    </row>
    <row r="9" spans="2:7" ht="15" customHeight="1" x14ac:dyDescent="0.35"/>
    <row r="10" spans="2:7" ht="15" customHeight="1" x14ac:dyDescent="0.35"/>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abSelected="1" zoomScale="105" zoomScaleNormal="130" workbookViewId="0">
      <selection activeCell="G5" sqref="G5"/>
    </sheetView>
  </sheetViews>
  <sheetFormatPr defaultRowHeight="14.5" x14ac:dyDescent="0.35"/>
  <cols>
    <col min="1" max="1" width="0.54296875" customWidth="1"/>
    <col min="2" max="2" width="9" bestFit="1" customWidth="1"/>
    <col min="3" max="3" width="15.26953125" bestFit="1" customWidth="1"/>
    <col min="4" max="4" width="70.54296875" customWidth="1"/>
    <col min="5" max="5" width="14.26953125" customWidth="1"/>
    <col min="6" max="6" width="14.26953125" style="58" customWidth="1"/>
    <col min="7" max="7" width="17.26953125" style="58" customWidth="1"/>
    <col min="8" max="8" width="9.453125" hidden="1" customWidth="1"/>
    <col min="9" max="9" width="91" customWidth="1"/>
  </cols>
  <sheetData>
    <row r="1" spans="2:9" ht="3.75" customHeight="1" thickBot="1" x14ac:dyDescent="0.4"/>
    <row r="2" spans="2:9" ht="15" customHeight="1" x14ac:dyDescent="0.35">
      <c r="B2" s="15"/>
      <c r="C2" s="16"/>
      <c r="D2" s="183" t="s">
        <v>182</v>
      </c>
      <c r="E2" s="17"/>
      <c r="F2" s="17"/>
      <c r="G2" s="17"/>
      <c r="H2" s="17"/>
      <c r="I2" s="18"/>
    </row>
    <row r="3" spans="2:9" ht="15" customHeight="1" thickBot="1" x14ac:dyDescent="0.4">
      <c r="B3" s="19"/>
      <c r="C3" s="20"/>
      <c r="D3" s="184"/>
      <c r="E3" s="21"/>
      <c r="F3" s="21"/>
      <c r="G3" s="21"/>
      <c r="H3" s="22"/>
      <c r="I3" s="23"/>
    </row>
    <row r="4" spans="2:9" ht="15" customHeight="1" thickBot="1" x14ac:dyDescent="0.4">
      <c r="B4" s="24"/>
      <c r="C4" s="24"/>
      <c r="D4" s="25" t="s">
        <v>8</v>
      </c>
      <c r="E4" s="26" t="s">
        <v>116</v>
      </c>
      <c r="F4" s="26" t="s">
        <v>117</v>
      </c>
      <c r="G4" s="26" t="s">
        <v>62</v>
      </c>
      <c r="H4" s="25" t="s">
        <v>9</v>
      </c>
      <c r="I4" s="27" t="s">
        <v>11</v>
      </c>
    </row>
    <row r="5" spans="2:9" ht="15" thickBot="1" x14ac:dyDescent="0.4">
      <c r="B5" s="152">
        <v>-2</v>
      </c>
      <c r="C5" s="186" t="s">
        <v>98</v>
      </c>
      <c r="D5" s="127" t="s">
        <v>35</v>
      </c>
      <c r="E5" s="128">
        <v>0</v>
      </c>
      <c r="F5" s="128">
        <v>-2</v>
      </c>
      <c r="G5" s="68" t="s">
        <v>45</v>
      </c>
      <c r="H5" s="129">
        <f>VLOOKUP(G5,'TCR Values'!$B$2:$C$5,2, FALSE)</f>
        <v>100</v>
      </c>
      <c r="I5" s="130"/>
    </row>
    <row r="6" spans="2:9" ht="15" thickBot="1" x14ac:dyDescent="0.4">
      <c r="B6" s="152">
        <v>-2</v>
      </c>
      <c r="C6" s="188"/>
      <c r="D6" s="122" t="s">
        <v>36</v>
      </c>
      <c r="E6" s="123">
        <v>0</v>
      </c>
      <c r="F6" s="123">
        <v>-2</v>
      </c>
      <c r="G6" s="126" t="s">
        <v>45</v>
      </c>
      <c r="H6" s="124">
        <f>VLOOKUP(G6,'TCR Values'!$B$2:$C$5,2, FALSE)</f>
        <v>100</v>
      </c>
      <c r="I6" s="75"/>
    </row>
    <row r="7" spans="2:9" ht="15" thickBot="1" x14ac:dyDescent="0.4">
      <c r="B7" s="152">
        <v>-2</v>
      </c>
      <c r="C7" s="188"/>
      <c r="D7" s="122" t="s">
        <v>71</v>
      </c>
      <c r="E7" s="123">
        <v>0</v>
      </c>
      <c r="F7" s="123">
        <v>-2</v>
      </c>
      <c r="G7" s="126" t="s">
        <v>45</v>
      </c>
      <c r="H7" s="124">
        <f>VLOOKUP(G7,'TCR Values'!$B$2:$C$5,2, FALSE)</f>
        <v>100</v>
      </c>
      <c r="I7" s="75"/>
    </row>
    <row r="8" spans="2:9" ht="15" thickBot="1" x14ac:dyDescent="0.4">
      <c r="B8" s="152">
        <v>-2</v>
      </c>
      <c r="C8" s="188"/>
      <c r="D8" s="122" t="s">
        <v>72</v>
      </c>
      <c r="E8" s="123">
        <v>0</v>
      </c>
      <c r="F8" s="123">
        <v>-2</v>
      </c>
      <c r="G8" s="126" t="s">
        <v>45</v>
      </c>
      <c r="H8" s="124">
        <f>VLOOKUP(G8,'TCR Values'!$B$2:$C$5,2, FALSE)</f>
        <v>100</v>
      </c>
      <c r="I8" s="75"/>
    </row>
    <row r="9" spans="2:9" ht="15" thickBot="1" x14ac:dyDescent="0.4">
      <c r="B9" s="152">
        <v>-2</v>
      </c>
      <c r="C9" s="189"/>
      <c r="D9" s="131" t="s">
        <v>73</v>
      </c>
      <c r="E9" s="123">
        <v>0</v>
      </c>
      <c r="F9" s="123"/>
      <c r="G9" s="133" t="s">
        <v>45</v>
      </c>
      <c r="H9" s="134">
        <f>VLOOKUP(G9,'TCR Values'!$B$2:$C$5,2, FALSE)</f>
        <v>100</v>
      </c>
      <c r="I9" s="135"/>
    </row>
    <row r="10" spans="2:9" ht="15" thickBot="1" x14ac:dyDescent="0.4">
      <c r="B10" s="152">
        <v>-2</v>
      </c>
      <c r="C10" s="186" t="s">
        <v>34</v>
      </c>
      <c r="D10" s="127" t="s">
        <v>74</v>
      </c>
      <c r="E10" s="123">
        <v>0</v>
      </c>
      <c r="F10" s="123"/>
      <c r="G10" s="136" t="s">
        <v>45</v>
      </c>
      <c r="H10" s="129">
        <f>VLOOKUP(G10,'TCR Values'!$B$2:$C$5,2, FALSE)</f>
        <v>100</v>
      </c>
      <c r="I10" s="130"/>
    </row>
    <row r="11" spans="2:9" ht="15" thickBot="1" x14ac:dyDescent="0.4">
      <c r="B11" s="152">
        <v>-2</v>
      </c>
      <c r="C11" s="188"/>
      <c r="D11" s="122" t="s">
        <v>75</v>
      </c>
      <c r="E11" s="123">
        <v>0</v>
      </c>
      <c r="F11" s="123"/>
      <c r="G11" s="126" t="s">
        <v>45</v>
      </c>
      <c r="H11" s="124">
        <f>VLOOKUP(G11,'TCR Values'!$B$2:$C$5,2, FALSE)</f>
        <v>100</v>
      </c>
      <c r="I11" s="75"/>
    </row>
    <row r="12" spans="2:9" ht="15" thickBot="1" x14ac:dyDescent="0.4">
      <c r="B12" s="152">
        <v>-2</v>
      </c>
      <c r="C12" s="188"/>
      <c r="D12" s="122" t="s">
        <v>55</v>
      </c>
      <c r="E12" s="123">
        <v>0</v>
      </c>
      <c r="F12" s="123"/>
      <c r="G12" s="126" t="s">
        <v>45</v>
      </c>
      <c r="H12" s="124">
        <f>VLOOKUP(G12,'TCR Values'!$B$2:$C$5,2, FALSE)</f>
        <v>100</v>
      </c>
      <c r="I12" s="75"/>
    </row>
    <row r="13" spans="2:9" ht="15" thickBot="1" x14ac:dyDescent="0.4">
      <c r="B13" s="152">
        <v>-2</v>
      </c>
      <c r="C13" s="188"/>
      <c r="D13" s="122" t="s">
        <v>111</v>
      </c>
      <c r="E13" s="123">
        <v>0</v>
      </c>
      <c r="F13" s="123"/>
      <c r="G13" s="126" t="s">
        <v>45</v>
      </c>
      <c r="H13" s="124">
        <f>VLOOKUP(G13,'TCR Values'!$B$2:$C$5,2, FALSE)</f>
        <v>100</v>
      </c>
      <c r="I13" s="75"/>
    </row>
    <row r="14" spans="2:9" s="58" customFormat="1" ht="15" thickBot="1" x14ac:dyDescent="0.4">
      <c r="B14" s="152">
        <v>-2</v>
      </c>
      <c r="C14" s="188"/>
      <c r="D14" s="122" t="s">
        <v>37</v>
      </c>
      <c r="E14" s="123">
        <v>0</v>
      </c>
      <c r="F14" s="123"/>
      <c r="G14" s="126" t="s">
        <v>45</v>
      </c>
      <c r="H14" s="124">
        <f>VLOOKUP(G14,'TCR Values'!$B$2:$C$5,2, FALSE)</f>
        <v>100</v>
      </c>
      <c r="I14" s="75"/>
    </row>
    <row r="15" spans="2:9" s="58" customFormat="1" ht="15" thickBot="1" x14ac:dyDescent="0.4">
      <c r="B15" s="152">
        <v>-2</v>
      </c>
      <c r="C15" s="188"/>
      <c r="D15" s="122" t="s">
        <v>76</v>
      </c>
      <c r="E15" s="123">
        <v>0</v>
      </c>
      <c r="F15" s="123"/>
      <c r="G15" s="126" t="s">
        <v>45</v>
      </c>
      <c r="H15" s="124">
        <f>VLOOKUP(G15,'TCR Values'!$B$2:$C$5,2, FALSE)</f>
        <v>100</v>
      </c>
      <c r="I15" s="75"/>
    </row>
    <row r="16" spans="2:9" ht="15" thickBot="1" x14ac:dyDescent="0.4">
      <c r="B16" s="152">
        <v>-2</v>
      </c>
      <c r="C16" s="188"/>
      <c r="D16" s="122" t="s">
        <v>38</v>
      </c>
      <c r="E16" s="123">
        <v>0</v>
      </c>
      <c r="F16" s="123"/>
      <c r="G16" s="126" t="s">
        <v>45</v>
      </c>
      <c r="H16" s="124">
        <f>VLOOKUP(G16,'TCR Values'!$B$2:$C$5,2, FALSE)</f>
        <v>100</v>
      </c>
      <c r="I16" s="75"/>
    </row>
    <row r="17" spans="2:9" s="58" customFormat="1" ht="15" thickBot="1" x14ac:dyDescent="0.4">
      <c r="B17" s="152">
        <v>-2</v>
      </c>
      <c r="C17" s="188"/>
      <c r="D17" s="122" t="s">
        <v>47</v>
      </c>
      <c r="E17" s="123">
        <v>0</v>
      </c>
      <c r="F17" s="123"/>
      <c r="G17" s="126" t="s">
        <v>45</v>
      </c>
      <c r="H17" s="124">
        <f>VLOOKUP(G17,'TCR Values'!$B$2:$C$5,2, FALSE)</f>
        <v>100</v>
      </c>
      <c r="I17" s="75"/>
    </row>
    <row r="18" spans="2:9" s="58" customFormat="1" ht="15" thickBot="1" x14ac:dyDescent="0.4">
      <c r="B18" s="152">
        <v>-2</v>
      </c>
      <c r="C18" s="188"/>
      <c r="D18" s="122" t="s">
        <v>84</v>
      </c>
      <c r="E18" s="123">
        <v>0</v>
      </c>
      <c r="F18" s="123"/>
      <c r="G18" s="126" t="s">
        <v>45</v>
      </c>
      <c r="H18" s="124">
        <f>VLOOKUP(G18,'TCR Values'!$B$2:$C$5,2, FALSE)</f>
        <v>100</v>
      </c>
      <c r="I18" s="75"/>
    </row>
    <row r="19" spans="2:9" s="58" customFormat="1" ht="15" thickBot="1" x14ac:dyDescent="0.4">
      <c r="B19" s="152">
        <v>-2</v>
      </c>
      <c r="C19" s="189"/>
      <c r="D19" s="131" t="s">
        <v>49</v>
      </c>
      <c r="E19" s="123">
        <v>0</v>
      </c>
      <c r="F19" s="123"/>
      <c r="G19" s="133" t="s">
        <v>45</v>
      </c>
      <c r="H19" s="134">
        <f>VLOOKUP(G19,'TCR Values'!$B$2:$C$5,2, FALSE)</f>
        <v>100</v>
      </c>
      <c r="I19" s="135"/>
    </row>
    <row r="20" spans="2:9" s="58" customFormat="1" ht="15" thickBot="1" x14ac:dyDescent="0.4">
      <c r="B20" s="152">
        <v>-2</v>
      </c>
      <c r="C20" s="186" t="s">
        <v>99</v>
      </c>
      <c r="D20" s="127" t="s">
        <v>48</v>
      </c>
      <c r="E20" s="123">
        <v>0</v>
      </c>
      <c r="F20" s="123"/>
      <c r="G20" s="136" t="s">
        <v>45</v>
      </c>
      <c r="H20" s="129">
        <f>VLOOKUP(G20,'TCR Values'!$B$2:$C$5,2, FALSE)</f>
        <v>100</v>
      </c>
      <c r="I20" s="130"/>
    </row>
    <row r="21" spans="2:9" s="58" customFormat="1" ht="15" thickBot="1" x14ac:dyDescent="0.4">
      <c r="B21" s="152">
        <v>-2</v>
      </c>
      <c r="C21" s="188"/>
      <c r="D21" s="122" t="s">
        <v>77</v>
      </c>
      <c r="E21" s="123">
        <v>0</v>
      </c>
      <c r="F21" s="123"/>
      <c r="G21" s="126" t="s">
        <v>45</v>
      </c>
      <c r="H21" s="124">
        <f>VLOOKUP(G21,'TCR Values'!$B$2:$C$5,2, FALSE)</f>
        <v>100</v>
      </c>
      <c r="I21" s="75"/>
    </row>
    <row r="22" spans="2:9" s="58" customFormat="1" ht="15" thickBot="1" x14ac:dyDescent="0.4">
      <c r="B22" s="152">
        <v>-2</v>
      </c>
      <c r="C22" s="189"/>
      <c r="D22" s="131" t="s">
        <v>78</v>
      </c>
      <c r="E22" s="132">
        <v>0</v>
      </c>
      <c r="F22" s="132"/>
      <c r="G22" s="133" t="s">
        <v>45</v>
      </c>
      <c r="H22" s="134">
        <f>VLOOKUP(G22,'TCR Values'!$B$2:$C$5,2, FALSE)</f>
        <v>100</v>
      </c>
      <c r="I22" s="135"/>
    </row>
    <row r="23" spans="2:9" s="58" customFormat="1" ht="15" thickBot="1" x14ac:dyDescent="0.4">
      <c r="B23" s="152">
        <v>-2</v>
      </c>
      <c r="C23" s="186" t="s">
        <v>50</v>
      </c>
      <c r="D23" s="127" t="s">
        <v>79</v>
      </c>
      <c r="E23" s="128">
        <v>0</v>
      </c>
      <c r="F23" s="128"/>
      <c r="G23" s="136" t="s">
        <v>45</v>
      </c>
      <c r="H23" s="129">
        <f>VLOOKUP(G23,'TCR Values'!$B$2:$C$5,2, FALSE)</f>
        <v>100</v>
      </c>
      <c r="I23" s="130"/>
    </row>
    <row r="24" spans="2:9" s="58" customFormat="1" ht="15" thickBot="1" x14ac:dyDescent="0.4">
      <c r="B24" s="152">
        <v>-2</v>
      </c>
      <c r="C24" s="188"/>
      <c r="D24" s="122" t="s">
        <v>80</v>
      </c>
      <c r="E24" s="123">
        <v>0</v>
      </c>
      <c r="F24" s="123"/>
      <c r="G24" s="126" t="s">
        <v>45</v>
      </c>
      <c r="H24" s="124">
        <f>VLOOKUP(G24,'TCR Values'!$B$2:$C$5,2, FALSE)</f>
        <v>100</v>
      </c>
      <c r="I24" s="75"/>
    </row>
    <row r="25" spans="2:9" s="58" customFormat="1" ht="15" thickBot="1" x14ac:dyDescent="0.4">
      <c r="B25" s="152">
        <v>-2</v>
      </c>
      <c r="C25" s="188"/>
      <c r="D25" s="122" t="s">
        <v>81</v>
      </c>
      <c r="E25" s="123">
        <f>H25*B25</f>
        <v>0</v>
      </c>
      <c r="F25" s="123"/>
      <c r="G25" s="126" t="s">
        <v>39</v>
      </c>
      <c r="H25" s="124">
        <f>VLOOKUP(G25,'TCR Values'!$B$2:$C$5,2, FALSE)</f>
        <v>0</v>
      </c>
      <c r="I25" s="75" t="s">
        <v>97</v>
      </c>
    </row>
    <row r="26" spans="2:9" s="58" customFormat="1" ht="15" thickBot="1" x14ac:dyDescent="0.4">
      <c r="B26" s="152">
        <v>-2</v>
      </c>
      <c r="C26" s="189"/>
      <c r="D26" s="131" t="s">
        <v>82</v>
      </c>
      <c r="E26" s="132">
        <f>H26*B26</f>
        <v>0</v>
      </c>
      <c r="F26" s="132"/>
      <c r="G26" s="133" t="s">
        <v>39</v>
      </c>
      <c r="H26" s="134">
        <f>VLOOKUP(G26,'TCR Values'!$B$2:$C$5,2, FALSE)</f>
        <v>0</v>
      </c>
      <c r="I26" s="135" t="s">
        <v>97</v>
      </c>
    </row>
    <row r="27" spans="2:9" s="58" customFormat="1" ht="15" thickBot="1" x14ac:dyDescent="0.4">
      <c r="B27" s="152">
        <v>-2</v>
      </c>
      <c r="C27" s="190" t="s">
        <v>100</v>
      </c>
      <c r="D27" s="127" t="s">
        <v>51</v>
      </c>
      <c r="E27" s="128">
        <v>0</v>
      </c>
      <c r="F27" s="128"/>
      <c r="G27" s="136" t="s">
        <v>45</v>
      </c>
      <c r="H27" s="129">
        <f>VLOOKUP(G27,'TCR Values'!$B$2:$C$5,2, FALSE)</f>
        <v>100</v>
      </c>
      <c r="I27" s="130"/>
    </row>
    <row r="28" spans="2:9" s="58" customFormat="1" ht="15" thickBot="1" x14ac:dyDescent="0.4">
      <c r="B28" s="152">
        <v>-2</v>
      </c>
      <c r="C28" s="188"/>
      <c r="D28" s="122" t="s">
        <v>104</v>
      </c>
      <c r="E28" s="123">
        <v>0</v>
      </c>
      <c r="F28" s="123"/>
      <c r="G28" s="126" t="s">
        <v>45</v>
      </c>
      <c r="H28" s="124">
        <f>VLOOKUP(G28,'TCR Values'!$B$2:$C$5,2, FALSE)</f>
        <v>100</v>
      </c>
      <c r="I28" s="75"/>
    </row>
    <row r="29" spans="2:9" s="58" customFormat="1" ht="15" thickBot="1" x14ac:dyDescent="0.4">
      <c r="B29" s="152">
        <v>-2</v>
      </c>
      <c r="C29" s="188"/>
      <c r="D29" s="122" t="s">
        <v>53</v>
      </c>
      <c r="E29" s="123">
        <v>0</v>
      </c>
      <c r="F29" s="123"/>
      <c r="G29" s="126" t="s">
        <v>45</v>
      </c>
      <c r="H29" s="124">
        <f>VLOOKUP(G29,'TCR Values'!$B$2:$C$5,2, FALSE)</f>
        <v>100</v>
      </c>
      <c r="I29" s="75"/>
    </row>
    <row r="30" spans="2:9" s="58" customFormat="1" ht="15" thickBot="1" x14ac:dyDescent="0.4">
      <c r="B30" s="152">
        <v>-2</v>
      </c>
      <c r="C30" s="188"/>
      <c r="D30" s="122" t="s">
        <v>52</v>
      </c>
      <c r="E30" s="123">
        <v>0</v>
      </c>
      <c r="F30" s="123"/>
      <c r="G30" s="126" t="s">
        <v>45</v>
      </c>
      <c r="H30" s="124">
        <f>VLOOKUP(G30,'TCR Values'!$B$2:$C$5,2, FALSE)</f>
        <v>100</v>
      </c>
      <c r="I30" s="75"/>
    </row>
    <row r="31" spans="2:9" s="58" customFormat="1" ht="15" thickBot="1" x14ac:dyDescent="0.4">
      <c r="B31" s="152">
        <v>-2</v>
      </c>
      <c r="C31" s="189"/>
      <c r="D31" s="131" t="s">
        <v>83</v>
      </c>
      <c r="E31" s="132">
        <v>0</v>
      </c>
      <c r="F31" s="132"/>
      <c r="G31" s="133" t="s">
        <v>45</v>
      </c>
      <c r="H31" s="134">
        <f>VLOOKUP(G31,'TCR Values'!$B$2:$C$5,2, FALSE)</f>
        <v>100</v>
      </c>
      <c r="I31" s="135"/>
    </row>
    <row r="32" spans="2:9" s="58" customFormat="1" ht="15" thickBot="1" x14ac:dyDescent="0.4">
      <c r="B32" s="152">
        <v>-2</v>
      </c>
      <c r="C32" s="186" t="s">
        <v>56</v>
      </c>
      <c r="D32" s="127" t="s">
        <v>54</v>
      </c>
      <c r="E32" s="128">
        <v>0</v>
      </c>
      <c r="F32" s="128"/>
      <c r="G32" s="136" t="s">
        <v>45</v>
      </c>
      <c r="H32" s="129">
        <f>VLOOKUP(G32,'TCR Values'!$B$2:$C$5,2, FALSE)</f>
        <v>100</v>
      </c>
      <c r="I32" s="130"/>
    </row>
    <row r="33" spans="2:9" s="58" customFormat="1" ht="15" thickBot="1" x14ac:dyDescent="0.4">
      <c r="B33" s="152">
        <v>-2</v>
      </c>
      <c r="C33" s="189"/>
      <c r="D33" s="131" t="s">
        <v>86</v>
      </c>
      <c r="E33" s="132">
        <v>0</v>
      </c>
      <c r="F33" s="132"/>
      <c r="G33" s="133" t="s">
        <v>45</v>
      </c>
      <c r="H33" s="134">
        <f>VLOOKUP(G33,'TCR Values'!$B$2:$C$5,2, FALSE)</f>
        <v>100</v>
      </c>
      <c r="I33" s="135"/>
    </row>
    <row r="34" spans="2:9" s="58" customFormat="1" ht="15" thickBot="1" x14ac:dyDescent="0.4">
      <c r="B34" s="152">
        <v>-2</v>
      </c>
      <c r="C34" s="186" t="s">
        <v>58</v>
      </c>
      <c r="D34" s="127" t="s">
        <v>58</v>
      </c>
      <c r="E34" s="128">
        <v>0</v>
      </c>
      <c r="F34" s="128"/>
      <c r="G34" s="136" t="s">
        <v>45</v>
      </c>
      <c r="H34" s="129">
        <f>VLOOKUP(G34,'TCR Values'!$B$2:$C$5,2, FALSE)</f>
        <v>100</v>
      </c>
      <c r="I34" s="130"/>
    </row>
    <row r="35" spans="2:9" s="58" customFormat="1" ht="15" thickBot="1" x14ac:dyDescent="0.4">
      <c r="B35" s="152">
        <v>-2</v>
      </c>
      <c r="C35" s="188"/>
      <c r="D35" s="122" t="s">
        <v>61</v>
      </c>
      <c r="E35" s="123">
        <v>0</v>
      </c>
      <c r="F35" s="123"/>
      <c r="G35" s="126" t="s">
        <v>45</v>
      </c>
      <c r="H35" s="124">
        <f>VLOOKUP(G35,'TCR Values'!$B$2:$C$5,2, FALSE)</f>
        <v>100</v>
      </c>
      <c r="I35" s="75"/>
    </row>
    <row r="36" spans="2:9" s="58" customFormat="1" ht="15" thickBot="1" x14ac:dyDescent="0.4">
      <c r="B36" s="152">
        <v>-2</v>
      </c>
      <c r="C36" s="188"/>
      <c r="D36" s="122" t="s">
        <v>87</v>
      </c>
      <c r="E36" s="123">
        <v>0</v>
      </c>
      <c r="F36" s="123"/>
      <c r="G36" s="126" t="s">
        <v>45</v>
      </c>
      <c r="H36" s="124">
        <f>VLOOKUP(G36,'TCR Values'!$B$2:$C$5,2, FALSE)</f>
        <v>100</v>
      </c>
      <c r="I36" s="75"/>
    </row>
    <row r="37" spans="2:9" s="58" customFormat="1" ht="15" thickBot="1" x14ac:dyDescent="0.4">
      <c r="B37" s="152">
        <v>-2</v>
      </c>
      <c r="C37" s="188"/>
      <c r="D37" s="122" t="s">
        <v>57</v>
      </c>
      <c r="E37" s="123">
        <v>0</v>
      </c>
      <c r="F37" s="123"/>
      <c r="G37" s="126" t="s">
        <v>45</v>
      </c>
      <c r="H37" s="124">
        <f>VLOOKUP(G37,'TCR Values'!$B$2:$C$5,2, FALSE)</f>
        <v>100</v>
      </c>
      <c r="I37" s="75"/>
    </row>
    <row r="38" spans="2:9" s="58" customFormat="1" ht="15" thickBot="1" x14ac:dyDescent="0.4">
      <c r="B38" s="152">
        <v>-2</v>
      </c>
      <c r="C38" s="188"/>
      <c r="D38" s="122" t="s">
        <v>88</v>
      </c>
      <c r="E38" s="123">
        <v>0</v>
      </c>
      <c r="F38" s="123"/>
      <c r="G38" s="126" t="s">
        <v>45</v>
      </c>
      <c r="H38" s="124">
        <f>VLOOKUP(G38,'TCR Values'!$B$2:$C$5,2, FALSE)</f>
        <v>100</v>
      </c>
      <c r="I38" s="75"/>
    </row>
    <row r="39" spans="2:9" s="58" customFormat="1" ht="15" thickBot="1" x14ac:dyDescent="0.4">
      <c r="B39" s="152">
        <v>-2</v>
      </c>
      <c r="C39" s="188"/>
      <c r="D39" s="122" t="s">
        <v>89</v>
      </c>
      <c r="E39" s="123">
        <v>0</v>
      </c>
      <c r="F39" s="123"/>
      <c r="G39" s="126" t="s">
        <v>45</v>
      </c>
      <c r="H39" s="124">
        <f>VLOOKUP(G39,'TCR Values'!$B$2:$C$5,2, FALSE)</f>
        <v>100</v>
      </c>
      <c r="I39" s="75"/>
    </row>
    <row r="40" spans="2:9" s="58" customFormat="1" ht="15" thickBot="1" x14ac:dyDescent="0.4">
      <c r="B40" s="152">
        <v>-2</v>
      </c>
      <c r="C40" s="188"/>
      <c r="D40" s="122" t="s">
        <v>90</v>
      </c>
      <c r="E40" s="123">
        <v>0</v>
      </c>
      <c r="F40" s="123"/>
      <c r="G40" s="126" t="s">
        <v>45</v>
      </c>
      <c r="H40" s="124">
        <f>VLOOKUP(G40,'TCR Values'!$B$2:$C$5,2, FALSE)</f>
        <v>100</v>
      </c>
      <c r="I40" s="75"/>
    </row>
    <row r="41" spans="2:9" s="58" customFormat="1" ht="15" thickBot="1" x14ac:dyDescent="0.4">
      <c r="B41" s="152">
        <v>-2</v>
      </c>
      <c r="C41" s="189"/>
      <c r="D41" s="131" t="s">
        <v>91</v>
      </c>
      <c r="E41" s="132">
        <v>0</v>
      </c>
      <c r="F41" s="132"/>
      <c r="G41" s="133" t="s">
        <v>45</v>
      </c>
      <c r="H41" s="134">
        <f>VLOOKUP(G41,'TCR Values'!$B$2:$C$5,2, FALSE)</f>
        <v>100</v>
      </c>
      <c r="I41" s="135"/>
    </row>
    <row r="42" spans="2:9" s="58" customFormat="1" ht="15" thickBot="1" x14ac:dyDescent="0.4">
      <c r="B42" s="152">
        <v>-2</v>
      </c>
      <c r="C42" s="186" t="s">
        <v>101</v>
      </c>
      <c r="D42" s="122" t="s">
        <v>60</v>
      </c>
      <c r="E42" s="123">
        <v>0</v>
      </c>
      <c r="F42" s="123"/>
      <c r="G42" s="126" t="s">
        <v>45</v>
      </c>
      <c r="H42" s="124">
        <f>VLOOKUP(G42,'TCR Values'!$B$2:$C$5,2, FALSE)</f>
        <v>100</v>
      </c>
      <c r="I42" s="125"/>
    </row>
    <row r="43" spans="2:9" s="58" customFormat="1" ht="15" thickBot="1" x14ac:dyDescent="0.4">
      <c r="B43" s="152">
        <v>-2</v>
      </c>
      <c r="C43" s="188"/>
      <c r="D43" s="122" t="s">
        <v>85</v>
      </c>
      <c r="E43" s="123">
        <v>0</v>
      </c>
      <c r="F43" s="123"/>
      <c r="G43" s="126" t="s">
        <v>45</v>
      </c>
      <c r="H43" s="124">
        <f>VLOOKUP(G43,'TCR Values'!$B$2:$C$5,2, FALSE)</f>
        <v>100</v>
      </c>
      <c r="I43" s="125"/>
    </row>
    <row r="44" spans="2:9" s="58" customFormat="1" ht="15" thickBot="1" x14ac:dyDescent="0.4">
      <c r="B44" s="152">
        <v>-2</v>
      </c>
      <c r="C44" s="189"/>
      <c r="D44" s="122" t="s">
        <v>59</v>
      </c>
      <c r="E44" s="123">
        <v>0</v>
      </c>
      <c r="F44" s="123"/>
      <c r="G44" s="126" t="s">
        <v>45</v>
      </c>
      <c r="H44" s="124">
        <f>VLOOKUP(G44,'TCR Values'!$B$2:$C$5,2, FALSE)</f>
        <v>100</v>
      </c>
      <c r="I44" s="125"/>
    </row>
    <row r="45" spans="2:9" s="58" customFormat="1" ht="15" thickBot="1" x14ac:dyDescent="0.4">
      <c r="B45" s="152">
        <v>-2</v>
      </c>
      <c r="C45" s="186" t="s">
        <v>102</v>
      </c>
      <c r="D45" s="127" t="s">
        <v>92</v>
      </c>
      <c r="E45" s="128">
        <f>H45*B45</f>
        <v>0</v>
      </c>
      <c r="F45" s="128"/>
      <c r="G45" s="136" t="s">
        <v>39</v>
      </c>
      <c r="H45" s="129">
        <f>VLOOKUP(G45,'TCR Values'!$B$2:$C$5,2, FALSE)</f>
        <v>0</v>
      </c>
      <c r="I45" s="130" t="s">
        <v>96</v>
      </c>
    </row>
    <row r="46" spans="2:9" s="58" customFormat="1" ht="15" thickBot="1" x14ac:dyDescent="0.4">
      <c r="B46" s="152">
        <v>-2</v>
      </c>
      <c r="C46" s="188"/>
      <c r="D46" s="122" t="s">
        <v>93</v>
      </c>
      <c r="E46" s="123">
        <f>H46*B46</f>
        <v>0</v>
      </c>
      <c r="F46" s="123"/>
      <c r="G46" s="126" t="s">
        <v>39</v>
      </c>
      <c r="H46" s="124">
        <f>VLOOKUP(G46,'TCR Values'!$B$2:$C$5,2, FALSE)</f>
        <v>0</v>
      </c>
      <c r="I46" s="75" t="s">
        <v>96</v>
      </c>
    </row>
    <row r="47" spans="2:9" s="58" customFormat="1" ht="15" thickBot="1" x14ac:dyDescent="0.4">
      <c r="B47" s="152">
        <v>-2</v>
      </c>
      <c r="C47" s="188"/>
      <c r="D47" s="122" t="s">
        <v>94</v>
      </c>
      <c r="E47" s="123">
        <f>H47*B47</f>
        <v>0</v>
      </c>
      <c r="F47" s="123"/>
      <c r="G47" s="126" t="s">
        <v>39</v>
      </c>
      <c r="H47" s="124">
        <f>VLOOKUP(G47,'TCR Values'!$B$2:$C$5,2, FALSE)</f>
        <v>0</v>
      </c>
      <c r="I47" s="75" t="s">
        <v>96</v>
      </c>
    </row>
    <row r="48" spans="2:9" s="58" customFormat="1" ht="15" thickBot="1" x14ac:dyDescent="0.4">
      <c r="B48" s="152">
        <v>-2</v>
      </c>
      <c r="C48" s="189"/>
      <c r="D48" s="131" t="s">
        <v>95</v>
      </c>
      <c r="E48" s="132">
        <f>H48*B48</f>
        <v>0</v>
      </c>
      <c r="F48" s="132"/>
      <c r="G48" s="133" t="s">
        <v>39</v>
      </c>
      <c r="H48" s="134">
        <f>VLOOKUP(G48,'TCR Values'!$B$2:$C$5,2, FALSE)</f>
        <v>0</v>
      </c>
      <c r="I48" s="135" t="s">
        <v>96</v>
      </c>
    </row>
    <row r="49" spans="2:9" ht="15" customHeight="1" thickBot="1" x14ac:dyDescent="0.4">
      <c r="B49" s="41"/>
      <c r="C49" s="42"/>
      <c r="D49" s="43" t="s">
        <v>19</v>
      </c>
      <c r="E49" s="62">
        <f>MAX(-20,SUM(E5:E48))</f>
        <v>0</v>
      </c>
      <c r="F49" s="62">
        <f>MAX(-20,SUM(F5:F48))</f>
        <v>-8</v>
      </c>
      <c r="G49" s="66"/>
      <c r="H49" s="63"/>
      <c r="I49" s="64"/>
    </row>
    <row r="50" spans="2:9" ht="15" customHeight="1" x14ac:dyDescent="0.35">
      <c r="B50" s="148"/>
      <c r="C50" s="148"/>
      <c r="D50" s="149" t="s">
        <v>121</v>
      </c>
      <c r="E50" s="150">
        <f>ROUNDDOWN(E49/5,0)</f>
        <v>0</v>
      </c>
      <c r="F50" s="150">
        <f>ROUNDDOWN(F49/5,0)</f>
        <v>-1</v>
      </c>
      <c r="G50" s="148"/>
      <c r="H50" s="148"/>
      <c r="I50" s="148"/>
    </row>
    <row r="51" spans="2:9" ht="29" x14ac:dyDescent="0.35">
      <c r="C51" s="144" t="s">
        <v>113</v>
      </c>
      <c r="D51" s="143" t="s">
        <v>124</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6:G17 G48 G19:G32 G42:G45">
    <cfRule type="cellIs" dxfId="83" priority="53" stopIfTrue="1" operator="equal">
      <formula>$D$10</formula>
    </cfRule>
    <cfRule type="cellIs" dxfId="82" priority="54" stopIfTrue="1" operator="equal">
      <formula>$D$9</formula>
    </cfRule>
    <cfRule type="cellIs" dxfId="81" priority="55" stopIfTrue="1" operator="equal">
      <formula>$D$8</formula>
    </cfRule>
    <cfRule type="cellIs" dxfId="80" priority="56" stopIfTrue="1" operator="equal">
      <formula>$D$7</formula>
    </cfRule>
  </conditionalFormatting>
  <conditionalFormatting sqref="G39:G41">
    <cfRule type="cellIs" dxfId="79" priority="45" stopIfTrue="1" operator="equal">
      <formula>$D$10</formula>
    </cfRule>
    <cfRule type="cellIs" dxfId="78" priority="46" stopIfTrue="1" operator="equal">
      <formula>$D$9</formula>
    </cfRule>
    <cfRule type="cellIs" dxfId="77" priority="47" stopIfTrue="1" operator="equal">
      <formula>$D$8</formula>
    </cfRule>
    <cfRule type="cellIs" dxfId="76" priority="48" stopIfTrue="1" operator="equal">
      <formula>$D$7</formula>
    </cfRule>
  </conditionalFormatting>
  <conditionalFormatting sqref="G36:G38">
    <cfRule type="cellIs" dxfId="75" priority="37" stopIfTrue="1" operator="equal">
      <formula>$D$10</formula>
    </cfRule>
    <cfRule type="cellIs" dxfId="74" priority="38" stopIfTrue="1" operator="equal">
      <formula>$D$9</formula>
    </cfRule>
    <cfRule type="cellIs" dxfId="73" priority="39" stopIfTrue="1" operator="equal">
      <formula>$D$8</formula>
    </cfRule>
    <cfRule type="cellIs" dxfId="72" priority="40" stopIfTrue="1" operator="equal">
      <formula>$D$7</formula>
    </cfRule>
  </conditionalFormatting>
  <conditionalFormatting sqref="G33:G35">
    <cfRule type="cellIs" dxfId="71" priority="29" stopIfTrue="1" operator="equal">
      <formula>$D$10</formula>
    </cfRule>
    <cfRule type="cellIs" dxfId="70" priority="30" stopIfTrue="1" operator="equal">
      <formula>$D$9</formula>
    </cfRule>
    <cfRule type="cellIs" dxfId="69" priority="31" stopIfTrue="1" operator="equal">
      <formula>$D$8</formula>
    </cfRule>
    <cfRule type="cellIs" dxfId="68" priority="32" stopIfTrue="1" operator="equal">
      <formula>$D$7</formula>
    </cfRule>
  </conditionalFormatting>
  <conditionalFormatting sqref="G18">
    <cfRule type="cellIs" dxfId="67" priority="21" stopIfTrue="1" operator="equal">
      <formula>$D$10</formula>
    </cfRule>
    <cfRule type="cellIs" dxfId="66" priority="22" stopIfTrue="1" operator="equal">
      <formula>$D$9</formula>
    </cfRule>
    <cfRule type="cellIs" dxfId="65" priority="23" stopIfTrue="1" operator="equal">
      <formula>$D$8</formula>
    </cfRule>
    <cfRule type="cellIs" dxfId="64" priority="24" stopIfTrue="1" operator="equal">
      <formula>$D$7</formula>
    </cfRule>
  </conditionalFormatting>
  <conditionalFormatting sqref="G46">
    <cfRule type="cellIs" dxfId="63" priority="13" stopIfTrue="1" operator="equal">
      <formula>$D$10</formula>
    </cfRule>
    <cfRule type="cellIs" dxfId="62" priority="14" stopIfTrue="1" operator="equal">
      <formula>$D$9</formula>
    </cfRule>
    <cfRule type="cellIs" dxfId="61" priority="15" stopIfTrue="1" operator="equal">
      <formula>$D$8</formula>
    </cfRule>
    <cfRule type="cellIs" dxfId="60" priority="16" stopIfTrue="1" operator="equal">
      <formula>$D$7</formula>
    </cfRule>
  </conditionalFormatting>
  <conditionalFormatting sqref="G47">
    <cfRule type="cellIs" dxfId="59" priority="5" stopIfTrue="1" operator="equal">
      <formula>$D$10</formula>
    </cfRule>
    <cfRule type="cellIs" dxfId="58" priority="6" stopIfTrue="1" operator="equal">
      <formula>$D$9</formula>
    </cfRule>
    <cfRule type="cellIs" dxfId="57" priority="7" stopIfTrue="1" operator="equal">
      <formula>$D$8</formula>
    </cfRule>
    <cfRule type="cellIs" dxfId="56"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G5:G17 G48 G19:G32 G42:G45</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17" stopIfTrue="1" operator="equal" id="{A1C7CE25-B991-47FC-ACD6-E09F1F8E7457}">
            <xm:f>'TCR Values'!$B$2</xm:f>
            <x14:dxf>
              <font>
                <color theme="9" tint="-0.24994659260841701"/>
              </font>
              <fill>
                <patternFill>
                  <bgColor theme="1" tint="0.24994659260841701"/>
                </patternFill>
              </fill>
            </x14:dxf>
          </x14:cfRule>
          <x14:cfRule type="cellIs" priority="18" stopIfTrue="1" operator="equal" id="{84A483CF-59D4-4638-A5FA-52717DE8BB30}">
            <xm:f>'TCR Values'!$B$4</xm:f>
            <x14:dxf>
              <font>
                <b/>
                <i val="0"/>
                <color theme="0"/>
              </font>
              <fill>
                <patternFill>
                  <bgColor rgb="FFC00000"/>
                </patternFill>
              </fill>
            </x14:dxf>
          </x14:cfRule>
          <x14:cfRule type="cellIs" priority="19" stopIfTrue="1" operator="equal" id="{F16999D7-A25F-4C1F-9F1C-52BA04A211D5}">
            <xm:f>'TCR Values'!$B$3</xm:f>
            <x14:dxf>
              <font>
                <b val="0"/>
                <i val="0"/>
                <color theme="0"/>
              </font>
              <fill>
                <patternFill>
                  <bgColor rgb="FF92D050"/>
                </patternFill>
              </fill>
            </x14:dxf>
          </x14:cfRule>
          <x14:cfRule type="cellIs" priority="20" stopIfTrue="1" operator="equal" id="{B83088A7-EE75-4764-A3E4-AF777E5C36B9}">
            <xm:f>'TCR Values'!$B$5</xm:f>
            <x14:dxf>
              <font>
                <color theme="1"/>
              </font>
              <fill>
                <patternFill>
                  <bgColor theme="9" tint="0.79998168889431442"/>
                </patternFill>
              </fill>
            </x14:dxf>
          </x14:cfRule>
          <xm:sqref>G18</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zoomScale="145" zoomScaleNormal="145" workbookViewId="0">
      <selection activeCell="C3" sqref="C3:E6"/>
    </sheetView>
  </sheetViews>
  <sheetFormatPr defaultColWidth="9.1796875" defaultRowHeight="14.5" x14ac:dyDescent="0.35"/>
  <cols>
    <col min="1" max="1" width="9.1796875" style="191"/>
    <col min="2" max="2" width="35.1796875" style="191" bestFit="1" customWidth="1"/>
    <col min="3" max="3" width="76.26953125" style="193" customWidth="1"/>
    <col min="4" max="4" width="16.453125" style="192" customWidth="1"/>
    <col min="5" max="5" width="52.7265625" style="191" customWidth="1"/>
    <col min="6" max="12" width="10.81640625" style="191" customWidth="1"/>
    <col min="13" max="14" width="24.54296875" style="191" customWidth="1"/>
    <col min="15" max="16384" width="9.1796875" style="191"/>
  </cols>
  <sheetData>
    <row r="1" spans="2:12" ht="15" thickBot="1" x14ac:dyDescent="0.4"/>
    <row r="2" spans="2:12" ht="24" thickBot="1" x14ac:dyDescent="0.4">
      <c r="B2" s="228" t="s">
        <v>183</v>
      </c>
      <c r="C2" s="227"/>
      <c r="D2" s="227"/>
      <c r="E2" s="226"/>
    </row>
    <row r="3" spans="2:12" x14ac:dyDescent="0.35">
      <c r="B3" s="225"/>
      <c r="C3" s="229" t="s">
        <v>184</v>
      </c>
      <c r="D3" s="230"/>
      <c r="E3" s="231"/>
    </row>
    <row r="4" spans="2:12" x14ac:dyDescent="0.35">
      <c r="B4" s="224"/>
      <c r="C4" s="232"/>
      <c r="D4" s="233"/>
      <c r="E4" s="234"/>
    </row>
    <row r="5" spans="2:12" x14ac:dyDescent="0.35">
      <c r="B5" s="224"/>
      <c r="C5" s="232"/>
      <c r="D5" s="233"/>
      <c r="E5" s="234"/>
    </row>
    <row r="6" spans="2:12" x14ac:dyDescent="0.35">
      <c r="B6" s="224"/>
      <c r="C6" s="235"/>
      <c r="D6" s="236"/>
      <c r="E6" s="237"/>
    </row>
    <row r="7" spans="2:12" x14ac:dyDescent="0.35">
      <c r="B7" s="222"/>
      <c r="D7" s="223" t="s">
        <v>39</v>
      </c>
      <c r="E7" s="59" t="s">
        <v>40</v>
      </c>
      <c r="F7" s="220"/>
      <c r="G7" s="220"/>
      <c r="H7" s="220"/>
      <c r="I7" s="220"/>
      <c r="J7" s="220"/>
      <c r="K7" s="220"/>
      <c r="L7" s="220"/>
    </row>
    <row r="8" spans="2:12" x14ac:dyDescent="0.35">
      <c r="B8" s="222"/>
      <c r="D8" s="221" t="s">
        <v>41</v>
      </c>
      <c r="E8" s="59" t="s">
        <v>42</v>
      </c>
      <c r="F8" s="220"/>
      <c r="G8" s="220"/>
      <c r="H8" s="220"/>
      <c r="I8" s="220"/>
      <c r="J8" s="220"/>
      <c r="K8" s="220"/>
      <c r="L8" s="220"/>
    </row>
    <row r="9" spans="2:12" x14ac:dyDescent="0.35">
      <c r="B9" s="222"/>
      <c r="D9" s="221" t="s">
        <v>43</v>
      </c>
      <c r="E9" s="59" t="s">
        <v>44</v>
      </c>
      <c r="F9" s="220"/>
      <c r="G9" s="220"/>
      <c r="H9" s="220"/>
      <c r="I9" s="220"/>
      <c r="J9" s="220"/>
      <c r="K9" s="220"/>
      <c r="L9" s="220"/>
    </row>
    <row r="10" spans="2:12" s="215" customFormat="1" ht="15" thickBot="1" x14ac:dyDescent="0.4">
      <c r="B10" s="219"/>
      <c r="C10" s="218"/>
      <c r="D10" s="61" t="s">
        <v>45</v>
      </c>
      <c r="E10" s="60" t="s">
        <v>46</v>
      </c>
    </row>
    <row r="11" spans="2:12" s="215" customFormat="1" ht="15" thickBot="1" x14ac:dyDescent="0.4">
      <c r="C11" s="217"/>
      <c r="D11" s="216"/>
    </row>
    <row r="12" spans="2:12" x14ac:dyDescent="0.35">
      <c r="B12" s="214" t="s">
        <v>181</v>
      </c>
      <c r="C12" s="213" t="s">
        <v>180</v>
      </c>
      <c r="D12" s="212" t="s">
        <v>62</v>
      </c>
      <c r="E12" s="211" t="s">
        <v>179</v>
      </c>
      <c r="F12" s="210"/>
      <c r="G12" s="210"/>
      <c r="H12" s="210"/>
      <c r="I12" s="210"/>
      <c r="J12" s="210"/>
      <c r="K12" s="210"/>
      <c r="L12" s="210"/>
    </row>
    <row r="13" spans="2:12" ht="15.5" x14ac:dyDescent="0.35">
      <c r="B13" s="206" t="s">
        <v>178</v>
      </c>
      <c r="C13" s="205"/>
      <c r="D13" s="205"/>
      <c r="E13" s="204"/>
      <c r="F13" s="210"/>
      <c r="G13" s="210"/>
      <c r="H13" s="210"/>
      <c r="I13" s="210"/>
      <c r="J13" s="210"/>
      <c r="K13" s="210"/>
      <c r="L13" s="210"/>
    </row>
    <row r="14" spans="2:12" ht="58" x14ac:dyDescent="0.35">
      <c r="B14" s="208" t="s">
        <v>35</v>
      </c>
      <c r="C14" s="207" t="s">
        <v>177</v>
      </c>
      <c r="D14" s="200" t="s">
        <v>45</v>
      </c>
      <c r="E14" s="199"/>
    </row>
    <row r="15" spans="2:12" ht="43.5" x14ac:dyDescent="0.35">
      <c r="B15" s="208" t="s">
        <v>36</v>
      </c>
      <c r="C15" s="207" t="s">
        <v>176</v>
      </c>
      <c r="D15" s="200" t="s">
        <v>45</v>
      </c>
      <c r="E15" s="199"/>
    </row>
    <row r="16" spans="2:12" ht="116" x14ac:dyDescent="0.35">
      <c r="B16" s="208" t="s">
        <v>71</v>
      </c>
      <c r="C16" s="207" t="s">
        <v>175</v>
      </c>
      <c r="D16" s="200" t="s">
        <v>45</v>
      </c>
      <c r="E16" s="199"/>
    </row>
    <row r="17" spans="2:12" ht="29" x14ac:dyDescent="0.35">
      <c r="B17" s="208" t="s">
        <v>72</v>
      </c>
      <c r="C17" s="207" t="s">
        <v>174</v>
      </c>
      <c r="D17" s="200" t="s">
        <v>45</v>
      </c>
      <c r="E17" s="199"/>
    </row>
    <row r="18" spans="2:12" x14ac:dyDescent="0.35">
      <c r="B18" s="208" t="s">
        <v>73</v>
      </c>
      <c r="C18" s="207" t="s">
        <v>173</v>
      </c>
      <c r="D18" s="200" t="s">
        <v>45</v>
      </c>
      <c r="E18" s="199"/>
    </row>
    <row r="19" spans="2:12" ht="15.5" x14ac:dyDescent="0.35">
      <c r="B19" s="206" t="s">
        <v>172</v>
      </c>
      <c r="C19" s="205"/>
      <c r="D19" s="205"/>
      <c r="E19" s="204"/>
      <c r="F19" s="210"/>
      <c r="G19" s="210"/>
      <c r="H19" s="210"/>
      <c r="I19" s="210"/>
      <c r="J19" s="210"/>
      <c r="K19" s="210"/>
      <c r="L19" s="210"/>
    </row>
    <row r="20" spans="2:12" ht="87" x14ac:dyDescent="0.35">
      <c r="B20" s="208" t="s">
        <v>74</v>
      </c>
      <c r="C20" s="207" t="s">
        <v>171</v>
      </c>
      <c r="D20" s="200" t="s">
        <v>45</v>
      </c>
      <c r="E20" s="199"/>
      <c r="F20" s="210"/>
      <c r="G20" s="210"/>
      <c r="H20" s="210"/>
      <c r="I20" s="210"/>
      <c r="J20" s="210"/>
      <c r="K20" s="210"/>
      <c r="L20" s="210"/>
    </row>
    <row r="21" spans="2:12" ht="87" x14ac:dyDescent="0.35">
      <c r="B21" s="208" t="s">
        <v>75</v>
      </c>
      <c r="C21" s="207" t="s">
        <v>170</v>
      </c>
      <c r="D21" s="200" t="s">
        <v>45</v>
      </c>
      <c r="E21" s="199"/>
    </row>
    <row r="22" spans="2:12" ht="29" x14ac:dyDescent="0.35">
      <c r="B22" s="208" t="s">
        <v>55</v>
      </c>
      <c r="C22" s="207" t="s">
        <v>169</v>
      </c>
      <c r="D22" s="200" t="s">
        <v>45</v>
      </c>
      <c r="E22" s="199"/>
    </row>
    <row r="23" spans="2:12" ht="58" x14ac:dyDescent="0.35">
      <c r="B23" s="209" t="s">
        <v>168</v>
      </c>
      <c r="C23" s="207" t="s">
        <v>167</v>
      </c>
      <c r="D23" s="200" t="s">
        <v>45</v>
      </c>
      <c r="E23" s="199"/>
    </row>
    <row r="24" spans="2:12" ht="58" x14ac:dyDescent="0.35">
      <c r="B24" s="208" t="s">
        <v>37</v>
      </c>
      <c r="C24" s="207" t="s">
        <v>166</v>
      </c>
      <c r="D24" s="200" t="s">
        <v>45</v>
      </c>
      <c r="E24" s="199"/>
    </row>
    <row r="25" spans="2:12" ht="159.5" x14ac:dyDescent="0.35">
      <c r="B25" s="208" t="s">
        <v>76</v>
      </c>
      <c r="C25" s="207" t="s">
        <v>165</v>
      </c>
      <c r="D25" s="200" t="s">
        <v>45</v>
      </c>
      <c r="E25" s="199"/>
    </row>
    <row r="26" spans="2:12" ht="57" customHeight="1" x14ac:dyDescent="0.35">
      <c r="B26" s="208" t="s">
        <v>38</v>
      </c>
      <c r="C26" s="207" t="s">
        <v>164</v>
      </c>
      <c r="D26" s="200" t="s">
        <v>45</v>
      </c>
      <c r="E26" s="199"/>
    </row>
    <row r="27" spans="2:12" ht="29.25" customHeight="1" x14ac:dyDescent="0.35">
      <c r="B27" s="208" t="s">
        <v>47</v>
      </c>
      <c r="C27" s="207" t="s">
        <v>163</v>
      </c>
      <c r="D27" s="200" t="s">
        <v>45</v>
      </c>
      <c r="E27" s="199"/>
    </row>
    <row r="28" spans="2:12" ht="29" x14ac:dyDescent="0.35">
      <c r="B28" s="208" t="s">
        <v>84</v>
      </c>
      <c r="C28" s="207" t="s">
        <v>162</v>
      </c>
      <c r="D28" s="200" t="s">
        <v>45</v>
      </c>
      <c r="E28" s="199"/>
    </row>
    <row r="29" spans="2:12" ht="87" x14ac:dyDescent="0.35">
      <c r="B29" s="208" t="s">
        <v>49</v>
      </c>
      <c r="C29" s="207" t="s">
        <v>161</v>
      </c>
      <c r="D29" s="200" t="s">
        <v>45</v>
      </c>
      <c r="E29" s="199"/>
    </row>
    <row r="30" spans="2:12" ht="15.5" x14ac:dyDescent="0.35">
      <c r="B30" s="206" t="s">
        <v>99</v>
      </c>
      <c r="C30" s="205"/>
      <c r="D30" s="205"/>
      <c r="E30" s="204"/>
    </row>
    <row r="31" spans="2:12" ht="29" x14ac:dyDescent="0.35">
      <c r="B31" s="208" t="s">
        <v>48</v>
      </c>
      <c r="C31" s="207" t="s">
        <v>160</v>
      </c>
      <c r="D31" s="200" t="s">
        <v>45</v>
      </c>
      <c r="E31" s="199"/>
    </row>
    <row r="32" spans="2:12" ht="87" x14ac:dyDescent="0.35">
      <c r="B32" s="208" t="s">
        <v>77</v>
      </c>
      <c r="C32" s="207" t="s">
        <v>159</v>
      </c>
      <c r="D32" s="200" t="s">
        <v>45</v>
      </c>
      <c r="E32" s="199"/>
    </row>
    <row r="33" spans="2:5" x14ac:dyDescent="0.35">
      <c r="B33" s="208" t="s">
        <v>78</v>
      </c>
      <c r="C33" s="207" t="s">
        <v>158</v>
      </c>
      <c r="D33" s="200" t="s">
        <v>45</v>
      </c>
      <c r="E33" s="199"/>
    </row>
    <row r="34" spans="2:5" ht="15.5" x14ac:dyDescent="0.35">
      <c r="B34" s="206" t="s">
        <v>50</v>
      </c>
      <c r="C34" s="205"/>
      <c r="D34" s="205"/>
      <c r="E34" s="204"/>
    </row>
    <row r="35" spans="2:5" ht="87" x14ac:dyDescent="0.35">
      <c r="B35" s="208" t="s">
        <v>79</v>
      </c>
      <c r="C35" s="207" t="s">
        <v>157</v>
      </c>
      <c r="D35" s="200" t="s">
        <v>45</v>
      </c>
      <c r="E35" s="199"/>
    </row>
    <row r="36" spans="2:5" ht="58" x14ac:dyDescent="0.35">
      <c r="B36" s="208" t="s">
        <v>80</v>
      </c>
      <c r="C36" s="207" t="s">
        <v>156</v>
      </c>
      <c r="D36" s="200" t="s">
        <v>45</v>
      </c>
      <c r="E36" s="199"/>
    </row>
    <row r="37" spans="2:5" ht="43.5" x14ac:dyDescent="0.35">
      <c r="B37" s="208" t="s">
        <v>81</v>
      </c>
      <c r="C37" s="207" t="s">
        <v>155</v>
      </c>
      <c r="D37" s="200" t="s">
        <v>45</v>
      </c>
      <c r="E37" s="199"/>
    </row>
    <row r="38" spans="2:5" ht="29" x14ac:dyDescent="0.35">
      <c r="B38" s="208" t="s">
        <v>82</v>
      </c>
      <c r="C38" s="207" t="s">
        <v>154</v>
      </c>
      <c r="D38" s="200" t="s">
        <v>45</v>
      </c>
      <c r="E38" s="199"/>
    </row>
    <row r="39" spans="2:5" ht="15.5" x14ac:dyDescent="0.35">
      <c r="B39" s="206" t="s">
        <v>153</v>
      </c>
      <c r="C39" s="205"/>
      <c r="D39" s="205"/>
      <c r="E39" s="204"/>
    </row>
    <row r="40" spans="2:5" x14ac:dyDescent="0.35">
      <c r="B40" s="208" t="s">
        <v>51</v>
      </c>
      <c r="C40" s="207" t="s">
        <v>152</v>
      </c>
      <c r="D40" s="200" t="s">
        <v>45</v>
      </c>
      <c r="E40" s="199"/>
    </row>
    <row r="41" spans="2:5" ht="29" x14ac:dyDescent="0.35">
      <c r="B41" s="208" t="s">
        <v>151</v>
      </c>
      <c r="C41" s="207" t="s">
        <v>150</v>
      </c>
      <c r="D41" s="200" t="s">
        <v>45</v>
      </c>
      <c r="E41" s="199"/>
    </row>
    <row r="42" spans="2:5" x14ac:dyDescent="0.35">
      <c r="B42" s="208" t="s">
        <v>53</v>
      </c>
      <c r="C42" s="207" t="s">
        <v>149</v>
      </c>
      <c r="D42" s="200" t="s">
        <v>45</v>
      </c>
      <c r="E42" s="199"/>
    </row>
    <row r="43" spans="2:5" ht="87" x14ac:dyDescent="0.35">
      <c r="B43" s="208" t="s">
        <v>52</v>
      </c>
      <c r="C43" s="207" t="s">
        <v>148</v>
      </c>
      <c r="D43" s="200" t="s">
        <v>45</v>
      </c>
      <c r="E43" s="199"/>
    </row>
    <row r="44" spans="2:5" ht="87" x14ac:dyDescent="0.35">
      <c r="B44" s="208" t="s">
        <v>83</v>
      </c>
      <c r="C44" s="207" t="s">
        <v>147</v>
      </c>
      <c r="D44" s="200" t="s">
        <v>45</v>
      </c>
      <c r="E44" s="199"/>
    </row>
    <row r="45" spans="2:5" ht="15.5" x14ac:dyDescent="0.35">
      <c r="B45" s="206" t="s">
        <v>56</v>
      </c>
      <c r="C45" s="205"/>
      <c r="D45" s="205"/>
      <c r="E45" s="204"/>
    </row>
    <row r="46" spans="2:5" ht="72.5" x14ac:dyDescent="0.35">
      <c r="B46" s="208" t="s">
        <v>54</v>
      </c>
      <c r="C46" s="207" t="s">
        <v>146</v>
      </c>
      <c r="D46" s="200" t="s">
        <v>45</v>
      </c>
      <c r="E46" s="199"/>
    </row>
    <row r="47" spans="2:5" ht="319" x14ac:dyDescent="0.35">
      <c r="B47" s="208" t="s">
        <v>86</v>
      </c>
      <c r="C47" s="207" t="s">
        <v>145</v>
      </c>
      <c r="D47" s="200" t="s">
        <v>45</v>
      </c>
      <c r="E47" s="199"/>
    </row>
    <row r="48" spans="2:5" ht="15.5" x14ac:dyDescent="0.35">
      <c r="B48" s="206" t="s">
        <v>58</v>
      </c>
      <c r="C48" s="205"/>
      <c r="D48" s="205"/>
      <c r="E48" s="204"/>
    </row>
    <row r="49" spans="2:5" ht="127.5" customHeight="1" x14ac:dyDescent="0.35">
      <c r="B49" s="208" t="s">
        <v>58</v>
      </c>
      <c r="C49" s="207" t="s">
        <v>144</v>
      </c>
      <c r="D49" s="200" t="s">
        <v>45</v>
      </c>
      <c r="E49" s="199"/>
    </row>
    <row r="50" spans="2:5" ht="29" x14ac:dyDescent="0.35">
      <c r="B50" s="208" t="s">
        <v>61</v>
      </c>
      <c r="C50" s="207" t="s">
        <v>143</v>
      </c>
      <c r="D50" s="200" t="s">
        <v>45</v>
      </c>
      <c r="E50" s="199"/>
    </row>
    <row r="51" spans="2:5" ht="29" x14ac:dyDescent="0.35">
      <c r="B51" s="208" t="s">
        <v>87</v>
      </c>
      <c r="C51" s="207" t="s">
        <v>142</v>
      </c>
      <c r="D51" s="200" t="s">
        <v>45</v>
      </c>
      <c r="E51" s="199"/>
    </row>
    <row r="52" spans="2:5" ht="35.25" customHeight="1" x14ac:dyDescent="0.35">
      <c r="B52" s="208" t="s">
        <v>57</v>
      </c>
      <c r="C52" s="207" t="s">
        <v>141</v>
      </c>
      <c r="D52" s="200" t="s">
        <v>45</v>
      </c>
      <c r="E52" s="199"/>
    </row>
    <row r="53" spans="2:5" ht="29" x14ac:dyDescent="0.35">
      <c r="B53" s="208" t="s">
        <v>88</v>
      </c>
      <c r="C53" s="207" t="s">
        <v>140</v>
      </c>
      <c r="D53" s="200" t="s">
        <v>45</v>
      </c>
      <c r="E53" s="199"/>
    </row>
    <row r="54" spans="2:5" ht="43.5" x14ac:dyDescent="0.35">
      <c r="B54" s="208" t="s">
        <v>89</v>
      </c>
      <c r="C54" s="207" t="s">
        <v>139</v>
      </c>
      <c r="D54" s="200" t="s">
        <v>45</v>
      </c>
      <c r="E54" s="199"/>
    </row>
    <row r="55" spans="2:5" ht="72.5" x14ac:dyDescent="0.35">
      <c r="B55" s="208" t="s">
        <v>90</v>
      </c>
      <c r="C55" s="207" t="s">
        <v>138</v>
      </c>
      <c r="D55" s="200" t="s">
        <v>45</v>
      </c>
      <c r="E55" s="199"/>
    </row>
    <row r="56" spans="2:5" ht="29" x14ac:dyDescent="0.35">
      <c r="B56" s="208" t="s">
        <v>91</v>
      </c>
      <c r="C56" s="207" t="s">
        <v>137</v>
      </c>
      <c r="D56" s="200" t="s">
        <v>45</v>
      </c>
      <c r="E56" s="199"/>
    </row>
    <row r="57" spans="2:5" ht="15.5" x14ac:dyDescent="0.35">
      <c r="B57" s="206" t="s">
        <v>101</v>
      </c>
      <c r="C57" s="205"/>
      <c r="D57" s="205"/>
      <c r="E57" s="204"/>
    </row>
    <row r="58" spans="2:5" x14ac:dyDescent="0.35">
      <c r="B58" s="208" t="s">
        <v>60</v>
      </c>
      <c r="C58" s="207" t="s">
        <v>136</v>
      </c>
      <c r="D58" s="200" t="s">
        <v>45</v>
      </c>
      <c r="E58" s="199"/>
    </row>
    <row r="59" spans="2:5" ht="43.5" x14ac:dyDescent="0.35">
      <c r="B59" s="208" t="s">
        <v>85</v>
      </c>
      <c r="C59" s="207" t="s">
        <v>135</v>
      </c>
      <c r="D59" s="200" t="s">
        <v>45</v>
      </c>
      <c r="E59" s="199"/>
    </row>
    <row r="60" spans="2:5" ht="87" x14ac:dyDescent="0.35">
      <c r="B60" s="208" t="s">
        <v>59</v>
      </c>
      <c r="C60" s="207" t="s">
        <v>134</v>
      </c>
      <c r="D60" s="200" t="s">
        <v>45</v>
      </c>
      <c r="E60" s="199"/>
    </row>
    <row r="61" spans="2:5" ht="15.5" x14ac:dyDescent="0.35">
      <c r="B61" s="206" t="s">
        <v>133</v>
      </c>
      <c r="C61" s="205"/>
      <c r="D61" s="205"/>
      <c r="E61" s="204"/>
    </row>
    <row r="62" spans="2:5" x14ac:dyDescent="0.35">
      <c r="B62" s="202" t="s">
        <v>92</v>
      </c>
      <c r="C62" s="203" t="s">
        <v>132</v>
      </c>
      <c r="D62" s="200" t="s">
        <v>39</v>
      </c>
      <c r="E62" s="199" t="s">
        <v>128</v>
      </c>
    </row>
    <row r="63" spans="2:5" ht="29" x14ac:dyDescent="0.35">
      <c r="B63" s="202" t="s">
        <v>93</v>
      </c>
      <c r="C63" s="201" t="s">
        <v>131</v>
      </c>
      <c r="D63" s="200" t="s">
        <v>39</v>
      </c>
      <c r="E63" s="199" t="s">
        <v>128</v>
      </c>
    </row>
    <row r="64" spans="2:5" ht="29" x14ac:dyDescent="0.35">
      <c r="B64" s="202" t="s">
        <v>94</v>
      </c>
      <c r="C64" s="201" t="s">
        <v>130</v>
      </c>
      <c r="D64" s="200" t="s">
        <v>39</v>
      </c>
      <c r="E64" s="199" t="s">
        <v>128</v>
      </c>
    </row>
    <row r="65" spans="2:5" ht="15" thickBot="1" x14ac:dyDescent="0.4">
      <c r="B65" s="198" t="s">
        <v>95</v>
      </c>
      <c r="C65" s="197" t="s">
        <v>129</v>
      </c>
      <c r="D65" s="196" t="s">
        <v>39</v>
      </c>
      <c r="E65" s="195" t="s">
        <v>128</v>
      </c>
    </row>
    <row r="81" spans="3:3" x14ac:dyDescent="0.35">
      <c r="C81" s="194"/>
    </row>
    <row r="87" spans="3:3" ht="16.5" customHeight="1" x14ac:dyDescent="0.35"/>
    <row r="96" spans="3:3" x14ac:dyDescent="0.35">
      <c r="C96" s="194"/>
    </row>
    <row r="98" spans="3:3" ht="14.25" customHeight="1" x14ac:dyDescent="0.35">
      <c r="C98" s="194"/>
    </row>
    <row r="99" spans="3:3" ht="14.25" customHeight="1" x14ac:dyDescent="0.35"/>
    <row r="100" spans="3:3" x14ac:dyDescent="0.35">
      <c r="C100" s="194"/>
    </row>
  </sheetData>
  <mergeCells count="3">
    <mergeCell ref="B2:E2"/>
    <mergeCell ref="B7:B10"/>
    <mergeCell ref="C3:E6"/>
  </mergeCells>
  <conditionalFormatting sqref="D7:D18 D49:D56 D21:D47 D58:D65">
    <cfRule type="cellIs" dxfId="27" priority="21" stopIfTrue="1" operator="equal">
      <formula>$D$10</formula>
    </cfRule>
    <cfRule type="cellIs" dxfId="26" priority="22" stopIfTrue="1" operator="equal">
      <formula>$D$9</formula>
    </cfRule>
    <cfRule type="cellIs" dxfId="25" priority="23" stopIfTrue="1" operator="equal">
      <formula>$D$8</formula>
    </cfRule>
    <cfRule type="cellIs" dxfId="24" priority="24" stopIfTrue="1" operator="equal">
      <formula>$D$7</formula>
    </cfRule>
  </conditionalFormatting>
  <conditionalFormatting sqref="D19">
    <cfRule type="cellIs" dxfId="23" priority="17" stopIfTrue="1" operator="equal">
      <formula>$D$10</formula>
    </cfRule>
    <cfRule type="cellIs" dxfId="22" priority="18" stopIfTrue="1" operator="equal">
      <formula>$D$9</formula>
    </cfRule>
    <cfRule type="cellIs" dxfId="21" priority="19" stopIfTrue="1" operator="equal">
      <formula>$D$8</formula>
    </cfRule>
    <cfRule type="cellIs" dxfId="20" priority="20" stopIfTrue="1" operator="equal">
      <formula>$D$7</formula>
    </cfRule>
  </conditionalFormatting>
  <conditionalFormatting sqref="D57">
    <cfRule type="cellIs" dxfId="19" priority="13" stopIfTrue="1" operator="equal">
      <formula>$D$10</formula>
    </cfRule>
    <cfRule type="cellIs" dxfId="18" priority="14" stopIfTrue="1" operator="equal">
      <formula>$D$9</formula>
    </cfRule>
    <cfRule type="cellIs" dxfId="17" priority="15" stopIfTrue="1" operator="equal">
      <formula>$D$8</formula>
    </cfRule>
    <cfRule type="cellIs" dxfId="16" priority="16" stopIfTrue="1" operator="equal">
      <formula>$D$7</formula>
    </cfRule>
  </conditionalFormatting>
  <conditionalFormatting sqref="D48:D50">
    <cfRule type="cellIs" dxfId="15" priority="9" stopIfTrue="1" operator="equal">
      <formula>$D$10</formula>
    </cfRule>
    <cfRule type="cellIs" dxfId="14" priority="10" stopIfTrue="1" operator="equal">
      <formula>$D$9</formula>
    </cfRule>
    <cfRule type="cellIs" dxfId="13" priority="11" stopIfTrue="1" operator="equal">
      <formula>$D$8</formula>
    </cfRule>
    <cfRule type="cellIs" dxfId="12" priority="12" stopIfTrue="1" operator="equal">
      <formula>$D$7</formula>
    </cfRule>
  </conditionalFormatting>
  <conditionalFormatting sqref="D51:D56">
    <cfRule type="cellIs" dxfId="11" priority="5" stopIfTrue="1" operator="equal">
      <formula>$D$10</formula>
    </cfRule>
    <cfRule type="cellIs" dxfId="10" priority="6" stopIfTrue="1" operator="equal">
      <formula>$D$9</formula>
    </cfRule>
    <cfRule type="cellIs" dxfId="9" priority="7" stopIfTrue="1" operator="equal">
      <formula>$D$8</formula>
    </cfRule>
    <cfRule type="cellIs" dxfId="8" priority="8" stopIfTrue="1" operator="equal">
      <formula>$D$7</formula>
    </cfRule>
  </conditionalFormatting>
  <conditionalFormatting sqref="D20">
    <cfRule type="cellIs" dxfId="7" priority="1" stopIfTrue="1" operator="equal">
      <formula>$D$10</formula>
    </cfRule>
    <cfRule type="cellIs" dxfId="6" priority="2" stopIfTrue="1" operator="equal">
      <formula>$D$9</formula>
    </cfRule>
    <cfRule type="cellIs" dxfId="5" priority="3" stopIfTrue="1" operator="equal">
      <formula>$D$8</formula>
    </cfRule>
    <cfRule type="cellIs" dxfId="4"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D40:D44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D35:D38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D14:D18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D49:D56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D31:D33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D20:D29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D46:D47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 UYF983098:UYF983100 VIB983098:VIB983100 VRX983098:VRX983100 WBT983098:WBT983100 WLP983098:WLP983100 WVL983098:WVL983100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4.5" x14ac:dyDescent="0.35"/>
  <cols>
    <col min="2" max="2" width="27.26953125" customWidth="1"/>
    <col min="3" max="3" width="22.81640625" style="58" customWidth="1"/>
    <col min="4" max="4" width="53" bestFit="1" customWidth="1"/>
  </cols>
  <sheetData>
    <row r="1" spans="2:4" ht="15" thickBot="1" x14ac:dyDescent="0.4"/>
    <row r="2" spans="2:4" x14ac:dyDescent="0.35">
      <c r="B2" s="67" t="s">
        <v>39</v>
      </c>
      <c r="C2" s="68">
        <v>0</v>
      </c>
      <c r="D2" s="69" t="s">
        <v>40</v>
      </c>
    </row>
    <row r="3" spans="2:4" x14ac:dyDescent="0.35">
      <c r="B3" s="70" t="s">
        <v>41</v>
      </c>
      <c r="C3" s="71">
        <v>0</v>
      </c>
      <c r="D3" s="59" t="s">
        <v>42</v>
      </c>
    </row>
    <row r="4" spans="2:4" x14ac:dyDescent="0.35">
      <c r="B4" s="70" t="s">
        <v>43</v>
      </c>
      <c r="C4" s="71">
        <v>100</v>
      </c>
      <c r="D4" s="59" t="s">
        <v>44</v>
      </c>
    </row>
    <row r="5" spans="2:4" ht="15" thickBot="1" x14ac:dyDescent="0.4">
      <c r="B5" s="72" t="s">
        <v>45</v>
      </c>
      <c r="C5" s="61">
        <v>100</v>
      </c>
      <c r="D5" s="60" t="s">
        <v>46</v>
      </c>
    </row>
  </sheetData>
  <conditionalFormatting sqref="B2:C5">
    <cfRule type="cellIs" dxfId="3" priority="1" stopIfTrue="1" operator="equal">
      <formula>$B$2</formula>
    </cfRule>
    <cfRule type="cellIs" dxfId="2" priority="2" stopIfTrue="1" operator="equal">
      <formula>$B$4</formula>
    </cfRule>
    <cfRule type="cellIs" dxfId="1" priority="3" stopIfTrue="1" operator="equal">
      <formula>$B$3</formula>
    </cfRule>
    <cfRule type="cellIs" dxfId="0"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Cheng Ding Xiang</cp:lastModifiedBy>
  <dcterms:created xsi:type="dcterms:W3CDTF">2016-11-30T02:45:37Z</dcterms:created>
  <dcterms:modified xsi:type="dcterms:W3CDTF">2021-03-29T13:23:03Z</dcterms:modified>
</cp:coreProperties>
</file>